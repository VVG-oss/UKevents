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 B 30天活动" sheetId="1" state="visible" r:id="rId1"/>
    <sheet name="汇总" sheetId="2" state="visible" r:id="rId2"/>
    <sheet name="社群覆盖清单" sheetId="3" state="visible" r:id="rId3"/>
    <sheet name="待核实与缺口" sheetId="4" state="visible" r:id="rId4"/>
  </sheets>
  <definedNames>
    <definedName name="_xlnm._FilterDatabase" localSheetId="0" hidden="1">'Track B 30天活动'!$A$1:$O$95</definedName>
    <definedName name="_xlnm._FilterDatabase" localSheetId="2" hidden="1">'社群覆盖清单'!$A$1:$E$66</definedName>
    <definedName name="_xlnm._FilterDatabase" localSheetId="3" hidden="1">'待核实与缺口'!$A$1:$B$32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name val="Arial"/>
      <b val="1"/>
      <color rgb="00FFFFFF"/>
      <sz val="10"/>
    </font>
    <font>
      <name val="Arial"/>
      <color rgb="000563C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  <col width="30" customWidth="1" min="4" max="4"/>
    <col width="34" customWidth="1" min="5" max="5"/>
    <col width="10" customWidth="1" min="6" max="6"/>
    <col width="22" customWidth="1" min="7" max="7"/>
    <col width="16" customWidth="1" min="8" max="8"/>
    <col width="9" customWidth="1" min="9" max="9"/>
    <col width="34" customWidth="1" min="10" max="10"/>
    <col width="40" customWidth="1" min="11" max="11"/>
    <col width="34" customWidth="1" min="12" max="12"/>
    <col width="30" customWidth="1" min="13" max="13"/>
    <col width="22" customWidth="1" min="14" max="14"/>
    <col width="12" customWidth="1" min="15" max="15"/>
  </cols>
  <sheetData>
    <row r="1" ht="28" customHeight="1">
      <c r="A1" s="4" t="inlineStr">
        <is>
          <t>社群</t>
        </is>
      </c>
      <c r="B1" s="4" t="inlineStr">
        <is>
          <t>图文</t>
        </is>
      </c>
      <c r="C1" s="4" t="inlineStr">
        <is>
          <t>发布文案</t>
        </is>
      </c>
      <c r="D1" s="4" t="inlineStr">
        <is>
          <t>活动名称</t>
        </is>
      </c>
      <c r="E1" s="4" t="inlineStr">
        <is>
          <t>详细地址</t>
        </is>
      </c>
      <c r="F1" s="4" t="inlineStr">
        <is>
          <t>地址质量</t>
        </is>
      </c>
      <c r="G1" s="4" t="inlineStr">
        <is>
          <t>日期</t>
        </is>
      </c>
      <c r="H1" s="4" t="inlineStr">
        <is>
          <t>类目</t>
        </is>
      </c>
      <c r="I1" s="4" t="inlineStr">
        <is>
          <t>热度</t>
        </is>
      </c>
      <c r="J1" s="4" t="inlineStr">
        <is>
          <t>热度依据</t>
        </is>
      </c>
      <c r="K1" s="4" t="inlineStr">
        <is>
          <t>来源链接</t>
        </is>
      </c>
      <c r="L1" s="4" t="inlineStr">
        <is>
          <t>推荐理由</t>
        </is>
      </c>
      <c r="M1" s="4" t="inlineStr">
        <is>
          <t>同一活动也推给</t>
        </is>
      </c>
      <c r="N1" s="4" t="inlineStr">
        <is>
          <t>图片链接</t>
        </is>
      </c>
      <c r="O1" s="4" t="inlineStr">
        <is>
          <t>图片来源分级</t>
        </is>
      </c>
    </row>
    <row r="2" ht="58" customHeight="1">
      <c r="A2" s="5" t="inlineStr">
        <is>
          <t>The Gaming Corner</t>
        </is>
      </c>
      <c r="B2" s="6" t="inlineStr">
        <is>
          <t>待制作：The Gaming Corner.png</t>
        </is>
      </c>
      <c r="C2" s="7" t="inlineStr">
        <is>
          <t>🔍 Event Radar (UK) — what's worth doing this month.
This month: GAMING 👇
🎮 EPIC49 LAN, Kettering — a 700-seat LAN party with CS2, VALORANT, StarCraft II &amp; osu! tournaments, 29 Oct–1 Nov.
🦸 MCM Comic Con, London ExCeL — gaming, anime &amp; cosplay all weekend, 23–25 Oct.</t>
        </is>
      </c>
      <c r="D2" s="5" t="inlineStr">
        <is>
          <t>EPIC49 LAN Party（含 CS2 / VALORANT / StarCraft II / osu! 锦标赛）</t>
        </is>
      </c>
      <c r="E2" s="5" t="inlineStr">
        <is>
          <t>Arena Sports, Kettering Leisure Village, Thurston Drive, Kettering NN15 6PB</t>
        </is>
      </c>
      <c r="F2" s="5" t="inlineStr">
        <is>
          <t>exact</t>
        </is>
      </c>
      <c r="G2" s="8" t="inlineStr">
        <is>
          <t>29 Oct 16:00 – 1 Nov 16:00 2026（锦标赛在 30 Oct – 1 Nov）</t>
        </is>
      </c>
      <c r="H2" s="8" t="inlineStr">
        <is>
          <t>年轻人娱乐(电竞/LAN)</t>
        </is>
      </c>
      <c r="I2" s="9" t="inlineStr">
        <is>
          <t>高热度</t>
        </is>
      </c>
      <c r="J2" s="8" t="inlineStr">
        <is>
          <t>英国老牌 LAN 系列，已办到第 49 届，每年两届；这届 700 个电脑位；官网有 EPIC49 专页，赛事项目包括 CS2 和 VALORANT</t>
        </is>
      </c>
      <c r="K2" s="8" t="inlineStr">
        <is>
          <t>https://www.epiclan.co.uk/epic49 ; https://www.yorkshirepudd.co.uk/epic49-kettering-lan/ ; https://esportsinsider.com/2025/07/epic-lan-unveils-dates-for-2026-events</t>
        </is>
      </c>
      <c r="L2" s="8" t="inlineStr">
        <is>
          <t>自带电脑参加 4 天 LAN；报比赛必须买 BYOC 票，而且一张票只能报一个项目；万圣节夜有社区派对；票价没核实</t>
        </is>
      </c>
      <c r="M2" s="8" t="inlineStr">
        <is>
          <t>CS2 Frag Hub；Valorant Riot Crew</t>
        </is>
      </c>
      <c r="N2" s="8" t="inlineStr">
        <is>
          <t>未取图：云端环境出站被拦（WebFetch EGRESS_BLOCKED），需在本地 Claude Code 补</t>
        </is>
      </c>
      <c r="O2" s="8" t="inlineStr">
        <is>
          <t>未完成</t>
        </is>
      </c>
    </row>
    <row r="3" ht="71.5" customHeight="1">
      <c r="A3" s="5" t="n"/>
      <c r="B3" s="6" t="n"/>
      <c r="C3" s="7" t="n"/>
      <c r="D3" s="5" t="inlineStr">
        <is>
          <t>MCM Comic Con London（October 2026）</t>
        </is>
      </c>
      <c r="E3" s="5" t="inlineStr">
        <is>
          <t>ExCeL London, 1 Western Gateway, Royal Victoria Dock, London E16 1XL</t>
        </is>
      </c>
      <c r="F3" s="5" t="inlineStr">
        <is>
          <t>exact</t>
        </is>
      </c>
      <c r="G3" s="8" t="inlineStr">
        <is>
          <t>23–25 Oct 2026</t>
        </is>
      </c>
      <c r="H3" s="8" t="inlineStr">
        <is>
          <t>兴趣类(游戏/动漫/流行文化)</t>
        </is>
      </c>
      <c r="I3" s="9" t="inlineStr">
        <is>
          <t>高热度</t>
        </is>
      </c>
      <c r="J3" s="8" t="inlineStr">
        <is>
          <t>英国最大流行文化展之一，一年两届长期举办；官方已公布 Critical Role 为首批嘉宾</t>
        </is>
      </c>
      <c r="K3" s="8" t="inlineStr">
        <is>
          <t>https://www.mcmcomiccon.com/london/en-us/tickets.html ; https://www.excel.london/whats-on/mcm-comic-con-2026 ; https://www.mcmcomiccon.com/global/en-us/blog/gaming/critical-role-guests-mcm-london-october-2026.html</t>
        </is>
      </c>
      <c r="L3" s="8" t="inlineStr">
        <is>
          <t>游戏、动漫、cosplay 一站式，年轻人浓度高；ExCeL 在东伦敦，QMUL 过去最方便</t>
        </is>
      </c>
      <c r="M3" s="8" t="inlineStr">
        <is>
          <t>UCL Hub / IC Collective / Royal College of Art / King's College London / London School of Economics / Queen Mary University of London</t>
        </is>
      </c>
      <c r="N3" s="8" t="inlineStr">
        <is>
          <t>未取图：云端环境出站被拦（WebFetch EGRESS_BLOCKED），需在本地 Claude Code 补</t>
        </is>
      </c>
      <c r="O3" s="8" t="inlineStr">
        <is>
          <t>未完成</t>
        </is>
      </c>
    </row>
    <row r="4" ht="60" customHeight="1">
      <c r="A4" s="5" t="inlineStr">
        <is>
          <t>CS2 Frag Hub</t>
        </is>
      </c>
      <c r="B4" s="6" t="inlineStr">
        <is>
          <t>待制作：CS2 Frag Hub.png</t>
        </is>
      </c>
      <c r="C4" s="7" t="inlineStr">
        <is>
          <t>🔍 Event Radar (UK) — what's worth doing this month.
This month: CS2 &amp; LAN 👇
🔫 EPIC49 LAN, Kettering — 4 days of LAN with a CS2 tournament (BYOC ticket needed), 29 Oct–1 Nov.</t>
        </is>
      </c>
      <c r="D4" s="5" t="inlineStr">
        <is>
          <t>EPIC49 LAN Party（含 CS2 / VALORANT / StarCraft II / osu! 锦标赛）</t>
        </is>
      </c>
      <c r="E4" s="5" t="inlineStr">
        <is>
          <t>Arena Sports, Kettering Leisure Village, Thurston Drive, Kettering NN15 6PB</t>
        </is>
      </c>
      <c r="F4" s="5" t="inlineStr">
        <is>
          <t>exact</t>
        </is>
      </c>
      <c r="G4" s="8" t="inlineStr">
        <is>
          <t>29 Oct 16:00 – 1 Nov 16:00 2026（锦标赛在 30 Oct – 1 Nov）</t>
        </is>
      </c>
      <c r="H4" s="8" t="inlineStr">
        <is>
          <t>年轻人娱乐(电竞/LAN)</t>
        </is>
      </c>
      <c r="I4" s="9" t="inlineStr">
        <is>
          <t>高热度</t>
        </is>
      </c>
      <c r="J4" s="8" t="inlineStr">
        <is>
          <t>英国老牌 LAN 系列，已办到第 49 届，每年两届；这届 700 个电脑位；官网有 EPIC49 专页，赛事项目包括 CS2 和 VALORANT</t>
        </is>
      </c>
      <c r="K4" s="8" t="inlineStr">
        <is>
          <t>https://www.epiclan.co.uk/epic49 ; https://www.yorkshirepudd.co.uk/epic49-kettering-lan/ ; https://esportsinsider.com/2025/07/epic-lan-unveils-dates-for-2026-events</t>
        </is>
      </c>
      <c r="L4" s="8" t="inlineStr">
        <is>
          <t>自带电脑参加 4 天 LAN；报比赛必须买 BYOC 票，而且一张票只能报一个项目；万圣节夜有社区派对；票价没核实</t>
        </is>
      </c>
      <c r="M4" s="8" t="inlineStr">
        <is>
          <t>The Gaming Corner；Valorant Riot Crew</t>
        </is>
      </c>
      <c r="N4" s="8" t="inlineStr">
        <is>
          <t>未取图：云端环境出站被拦（WebFetch EGRESS_BLOCKED），需在本地 Claude Code 补</t>
        </is>
      </c>
      <c r="O4" s="8" t="inlineStr">
        <is>
          <t>未完成</t>
        </is>
      </c>
    </row>
    <row r="5" ht="58" customHeight="1">
      <c r="A5" s="5" t="inlineStr">
        <is>
          <t>Day Trip Buddies</t>
        </is>
      </c>
      <c r="B5" s="6" t="inlineStr">
        <is>
          <t>待制作：Day Trip Buddies.png</t>
        </is>
      </c>
      <c r="C5" s="7" t="inlineStr">
        <is>
          <t>🔍 Event Radar (UK) — what's worth doing this month.
This month: DAY TRIPS 👇
🔥 Weston Park Bonfire Night, Shifnal — a giant bonfire, two fireworks shows and a funfair, 8 Nov.
🏎️ Knockhill Live-Action &amp; Fireworks, Dunfermline — stunt driving + a big fireworks finale, 7 Nov.</t>
        </is>
      </c>
      <c r="D5" s="5" t="inlineStr">
        <is>
          <t>Weston Park Bonfire &amp; Fireworks Night 2026</t>
        </is>
      </c>
      <c r="E5" s="5" t="inlineStr">
        <is>
          <t>Weston Park, Weston-under-Lizard, Shifnal TF11 8LE</t>
        </is>
      </c>
      <c r="F5" s="5" t="inlineStr">
        <is>
          <t>exact</t>
        </is>
      </c>
      <c r="G5" s="8" t="inlineStr">
        <is>
          <t>8 Nov 2026（周日）15:00 开门，17:00 点篝火，18:00 和 19:30 两场烟花</t>
        </is>
      </c>
      <c r="H5" s="8" t="inlineStr">
        <is>
          <t>年轻人娱乐(烟花) + 一日游</t>
        </is>
      </c>
      <c r="I5" s="10" t="inlineStr">
        <is>
          <t>中热度</t>
        </is>
      </c>
      <c r="J5" s="8" t="inlineStr">
        <is>
          <t>年年举办的庄园篝火夜，在 See Tickets / Ents24 正规售票，Visit Telford 有收录</t>
        </is>
      </c>
      <c r="K5" s="8" t="inlineStr">
        <is>
          <t>https://weston-park.com/bonfire-fireworks-night/ ; https://www.seetickets.com/event/bonfire-fireworks-night-2026/weston-park/3697208</t>
        </is>
      </c>
      <c r="L5" s="8" t="inlineStr">
        <is>
          <t>离 Harper Adams 和 Wolverhampton 都不远；乡村庄园 + 游乐场 + 两场烟花，适合当一日游</t>
        </is>
      </c>
      <c r="M5" s="8" t="inlineStr">
        <is>
          <t>Wolverhampton Freshers Hub 2026 / Harper Adams Campus Life</t>
        </is>
      </c>
      <c r="N5" s="8" t="inlineStr">
        <is>
          <t>未取图：云端环境出站被拦（WebFetch EGRESS_BLOCKED），需在本地 Claude Code 补</t>
        </is>
      </c>
      <c r="O5" s="8" t="inlineStr">
        <is>
          <t>未完成</t>
        </is>
      </c>
    </row>
    <row r="6" ht="71.5" customHeight="1">
      <c r="A6" s="5" t="n"/>
      <c r="B6" s="6" t="n"/>
      <c r="C6" s="7" t="n"/>
      <c r="D6" s="5" t="inlineStr">
        <is>
          <t>Knockhill Live-Action &amp; Fireworks Spectacular（赛车表演 + 篝火烟花）</t>
        </is>
      </c>
      <c r="E6" s="5" t="inlineStr">
        <is>
          <t>Knockhill Racing Circuit, Dunfermline, Fife KY12 9TF</t>
        </is>
      </c>
      <c r="F6" s="5" t="inlineStr">
        <is>
          <t>exact</t>
        </is>
      </c>
      <c r="G6" s="8" t="inlineStr">
        <is>
          <t>7 Nov 2026（周六）13:00 开门，14:00 赛道表演，约 17:30 放烟花</t>
        </is>
      </c>
      <c r="H6" s="8" t="inlineStr">
        <is>
          <t>年轻人娱乐(烟花/赛车) + 一日游</t>
        </is>
      </c>
      <c r="I6" s="10" t="inlineStr">
        <is>
          <t>中热度</t>
        </is>
      </c>
      <c r="J6" s="8" t="inlineStr">
        <is>
          <t>苏格兰国家赛车场官方主办，年年举办；烟花由 Edinburgh 21CC Fireworks 制作；What's On Fife 收录</t>
        </is>
      </c>
      <c r="K6" s="8" t="inlineStr">
        <is>
          <t>https://www.knockhill.com/events/fixture-Live-Action-amp-Fireworks-Spectacular-id917 ; https://www.whatsonfife.co.uk/event/078801-live-action-and-fireworks-spectacular-at-knockhill</t>
        </is>
      </c>
      <c r="L6" s="8" t="inlineStr">
        <is>
          <t>赛车漂移表演 + 烟花，很特别；离 Stirling 约 35 公里、离 St Andrews 约 50 公里，适合组团开车去</t>
        </is>
      </c>
      <c r="M6" s="8" t="inlineStr">
        <is>
          <t>University of St Andrews；University of Stirling</t>
        </is>
      </c>
      <c r="N6" s="8" t="inlineStr">
        <is>
          <t>未取图：云端环境出站被拦（WebFetch EGRESS_BLOCKED），需在本地 Claude Code 补</t>
        </is>
      </c>
      <c r="O6" s="8" t="inlineStr">
        <is>
          <t>未完成</t>
        </is>
      </c>
    </row>
    <row r="7" ht="58" customHeight="1">
      <c r="A7" s="5" t="inlineStr">
        <is>
          <t>Girls' Corner</t>
        </is>
      </c>
      <c r="B7" s="6" t="inlineStr">
        <is>
          <t>待制作：Girls' Corner.png</t>
        </is>
      </c>
      <c r="C7" s="7" t="inlineStr">
        <is>
          <t>🔍 Event Radar (UK) — what's worth doing this month.
This month: GIRLS' NIGHTS OUT 👇
🔮 The Craft 30th Anniversary Screening, Salford — an immersive witchy Halloween movie night by Girl Gang, 31 Oct.
🧹 Season of the Witch, Manchester — Girl Gang's craft nights &amp; witchy events, to 22 Nov.
💬 Lonely Girls Club Meet-up, Manchester — a solo-friendly night to make new friends, £8.95, 27 Oct.</t>
        </is>
      </c>
      <c r="D7" s="5" t="inlineStr">
        <is>
          <t>Girl Gang MCR：The Craft 30 周年沉浸式放映</t>
        </is>
      </c>
      <c r="E7" s="5" t="inlineStr">
        <is>
          <t>Islington Mill, James Street, Salford M3 5HW</t>
        </is>
      </c>
      <c r="F7" s="5" t="inlineStr">
        <is>
          <t>exact</t>
        </is>
      </c>
      <c r="G7" s="8" t="inlineStr">
        <is>
          <t>31 Oct 2026（周六）18:00–24:00</t>
        </is>
      </c>
      <c r="H7" s="8" t="inlineStr">
        <is>
          <t>电影/媒体 + 社交类(女性)</t>
        </is>
      </c>
      <c r="I7" s="10" t="inlineStr">
        <is>
          <t>中热度</t>
        </is>
      </c>
      <c r="J7" s="8" t="inlineStr">
        <is>
          <t>票务页显示"1/3 Sold"（真实售票信号）；主办方两次获 Film Society of the Year "Best Single Event"</t>
        </is>
      </c>
      <c r="K7" s="8" t="inlineStr">
        <is>
          <t>https://www.tickettailor.com/events/girlgangmcr/2344142 ; https://girlgangmcr.com/previous-projects/immersive-screenings/</t>
        </is>
      </c>
      <c r="L7" s="8" t="inlineStr">
        <is>
          <t>万圣节当晚的女巫主题放映，带 disco 和手工环节，女生结伴去很合适；注意 Girl Gang 受众年龄偏宽（16–80）</t>
        </is>
      </c>
      <c r="M7" s="8" t="inlineStr">
        <is>
          <t>Reel Talk Club；The University of Manchester</t>
        </is>
      </c>
      <c r="N7" s="8" t="inlineStr">
        <is>
          <t>未取图：云端环境出站被拦（WebFetch EGRESS_BLOCKED），需在本地 Claude Code 补</t>
        </is>
      </c>
      <c r="O7" s="8" t="inlineStr">
        <is>
          <t>未完成</t>
        </is>
      </c>
    </row>
    <row r="8" ht="58" customHeight="1">
      <c r="A8" s="5" t="n"/>
      <c r="B8" s="6" t="n"/>
      <c r="C8" s="7" t="n"/>
      <c r="D8" s="5" t="inlineStr">
        <is>
          <t>Girl Gang MCR：Season of the Witch 系列活动</t>
        </is>
      </c>
      <c r="E8" s="5" t="inlineStr">
        <is>
          <t>Manchester 多个场地：Craft &amp; Coven 手工夜在 Cloudwater Taproom；其余场次（含 Pendle 徒步）场地和日期要看 girlgangmcr.com</t>
        </is>
      </c>
      <c r="F8" s="5" t="inlineStr">
        <is>
          <t>venue_only</t>
        </is>
      </c>
      <c r="G8" s="8" t="inlineStr">
        <is>
          <t>22 Sep – 22 Nov 2026（窗口内为 15 Oct – 15 Nov；单场日期见官网）</t>
        </is>
      </c>
      <c r="H8" s="8" t="inlineStr">
        <is>
          <t>社交类(女性) + 兴趣类(手工)</t>
        </is>
      </c>
      <c r="I8" s="11" t="inlineStr">
        <is>
          <t>潜在价值</t>
        </is>
      </c>
      <c r="J8" s="8" t="inlineStr">
        <is>
          <t>Manchester's Finest 收录；系列里有 Craft &amp; Coven 手工夜、Pendle 女巫审判主题徒步等；没有单场售票数据</t>
        </is>
      </c>
      <c r="K8" s="8" t="inlineStr">
        <is>
          <t>https://www.manchestersfinest.com/events/girl-gang-mcr-season-of-the-witch/ ; https://girlgangmcr.com/upcoming-events/</t>
        </is>
      </c>
      <c r="L8" s="8" t="inlineStr">
        <is>
          <t>窗口内有多场可选；Pendle 徒步的具体日期没搜到，推之前要看官网确认单场日期</t>
        </is>
      </c>
      <c r="M8" s="8" t="inlineStr">
        <is>
          <t>The University of Manchester</t>
        </is>
      </c>
      <c r="N8" s="8" t="inlineStr">
        <is>
          <t>未取图：云端环境出站被拦（WebFetch EGRESS_BLOCKED），需在本地 Claude Code 补</t>
        </is>
      </c>
      <c r="O8" s="8" t="inlineStr">
        <is>
          <t>未完成</t>
        </is>
      </c>
    </row>
    <row r="9" ht="58" customHeight="1">
      <c r="A9" s="5" t="n"/>
      <c r="B9" s="6" t="n"/>
      <c r="C9" s="7" t="n"/>
      <c r="D9" s="5" t="inlineStr">
        <is>
          <t>Lonely Girls Club Manchester 活动（10/27 场）</t>
        </is>
      </c>
      <c r="E9" s="5" t="inlineStr">
        <is>
          <t>Manchester（⚠️具体场地报名后才公布，官网没公开）</t>
        </is>
      </c>
      <c r="F9" s="5" t="inlineStr">
        <is>
          <t>city_only</t>
        </is>
      </c>
      <c r="G9" s="8" t="inlineStr">
        <is>
          <t>27 Oct 2026（周二）</t>
        </is>
      </c>
      <c r="H9" s="8" t="inlineStr">
        <is>
          <t>社交类(女性交友)</t>
        </is>
      </c>
      <c r="I9" s="11" t="inlineStr">
        <is>
          <t>潜在价值</t>
        </is>
      </c>
      <c r="J9" s="8" t="inlineStr">
        <is>
          <t>成熟的女性交友组织（有 Wikipedia 词条），London+Manchester 成员约 5.5 万（这是社群规模，不代表到场人数）；这场的具体内容官网写"即将公布"</t>
        </is>
      </c>
      <c r="K9" s="8" t="inlineStr">
        <is>
          <t>https://www.llgc.co.uk/collections/manchester</t>
        </is>
      </c>
      <c r="L9" s="8" t="inlineStr">
        <is>
          <t>票价 £8.95，便宜，专为一个人来交朋友设计；活动内容没公布，推之前再看一眼</t>
        </is>
      </c>
      <c r="M9" s="8" t="inlineStr">
        <is>
          <t>The University of Manchester</t>
        </is>
      </c>
      <c r="N9" s="8" t="inlineStr">
        <is>
          <t>未取图：云端环境出站被拦（WebFetch EGRESS_BLOCKED），需在本地 Claude Code 补</t>
        </is>
      </c>
      <c r="O9" s="8" t="inlineStr">
        <is>
          <t>未完成</t>
        </is>
      </c>
    </row>
    <row r="10" ht="85" customHeight="1">
      <c r="A10" s="5" t="inlineStr">
        <is>
          <t>Live Music Crew</t>
        </is>
      </c>
      <c r="B10" s="6" t="inlineStr">
        <is>
          <t>待制作：Live Music Crew.png</t>
        </is>
      </c>
      <c r="C10" s="7" t="inlineStr">
        <is>
          <t>🔍 Event Radar (UK) — what's worth doing this month.
This month: MUSIC 👇
🎃 Skindred Halloween Special, Alexandra Palace — with Alien Ant Farm, Spineshank &amp; Orgy, 31 Oct.
🎧 Ben Hemsley Halloween Day Rave, Gateshead Stadium — house &amp; trance all day, 2,400+ going (18+), 31 Oct.
🤘 Core. Festival, Glasgow — a heavy-music weekend with Pig Destroyer, Eyehategod &amp; more, 13–15 Nov.
🎸 Skindred, Barrowland Ballroom, Glasgow — the "You Got This" tour hits a legendary venue, 13 Nov.
🎸 Pop Mutations x Tiny Changes, Glasgow — an indie weekender across four grassroots venues, 13–14 Nov.
🤘 Skindred, O2 Academy Birmingham — a rock night on Halloween eve, 30 Oct.
🎤 Reverend and The Makers, Northumbria SU — a big indie gig right on campus, 14 Nov.
🎸 Embrace 30th Anniversary Tour, O2 Academy Leeds — Britpop classics live, 13 Nov.</t>
        </is>
      </c>
      <c r="D10" s="5" t="inlineStr">
        <is>
          <t>Skindred 万圣节专场（嘉宾：Alien Ant Farm / Spineshank / Orgy）</t>
        </is>
      </c>
      <c r="E10" s="5" t="inlineStr">
        <is>
          <t>Alexandra Palace, Alexandra Palace Way, London N22 7AY</t>
        </is>
      </c>
      <c r="F10" s="5" t="inlineStr">
        <is>
          <t>exact</t>
        </is>
      </c>
      <c r="G10" s="8" t="inlineStr">
        <is>
          <t>31 Oct 2026（周六）18:30</t>
        </is>
      </c>
      <c r="H10" s="8" t="inlineStr">
        <is>
          <t>年轻人娱乐(Live Music/摇滚)</t>
        </is>
      </c>
      <c r="I10" s="9" t="inlineStr">
        <is>
          <t>高热度</t>
        </is>
      </c>
      <c r="J10" s="8" t="inlineStr">
        <is>
          <t>NME、Kerrang! 专门报道的巡演压轴场；在 See Tickets 正规售票；四支乐队同台</t>
        </is>
      </c>
      <c r="K10" s="8" t="inlineStr">
        <is>
          <t>https://www.seetickets.com/event/skindred-you-got-this-tour/alexandra-palace/3619860 ; https://www.nme.com/news/music/skindred-announce-2026-uk-and-ireland-tour-with-alien-ant-farm-including-halloween-alexandra-palace-gig-3936573</t>
        </is>
      </c>
      <c r="L10" s="8" t="inlineStr">
        <is>
          <t>万圣节夜的 nu-metal 怀旧大场，Ally Pally 场馆有气势</t>
        </is>
      </c>
      <c r="M10" s="8" t="inlineStr">
        <is>
          <t>UCL Hub / IC Collective / Royal College of Art / King's College London / London School of Economics / Queen Mary University of London</t>
        </is>
      </c>
      <c r="N10" s="8" t="inlineStr">
        <is>
          <t>未取图：云端环境出站被拦（WebFetch EGRESS_BLOCKED），需在本地 Claude Code 补</t>
        </is>
      </c>
      <c r="O10" s="8" t="inlineStr">
        <is>
          <t>未完成</t>
        </is>
      </c>
    </row>
    <row r="11" ht="58" customHeight="1">
      <c r="A11" s="5" t="n"/>
      <c r="B11" s="6" t="n"/>
      <c r="C11" s="7" t="n"/>
      <c r="D11" s="5" t="inlineStr">
        <is>
          <t>Ben Hemsley 万圣节日场 Rave（with Ewan McVicar）</t>
        </is>
      </c>
      <c r="E11" s="5" t="inlineStr">
        <is>
          <t>Gateshead International Stadium, Neilson Road, Gateshead NE10 0EF</t>
        </is>
      </c>
      <c r="F11" s="5" t="inlineStr">
        <is>
          <t>exact</t>
        </is>
      </c>
      <c r="G11" s="8" t="inlineStr">
        <is>
          <t>31 Oct 2026（周六）13:30–23:00，16:00 后停止入场</t>
        </is>
      </c>
      <c r="H11" s="8" t="inlineStr">
        <is>
          <t>年轻人娱乐(Club/电子)</t>
        </is>
      </c>
      <c r="I11" s="9" t="inlineStr">
        <is>
          <t>高热度</t>
        </is>
      </c>
      <c r="J11" s="8" t="inlineStr">
        <is>
          <t>Skiddle 显示"hot seller"、2,448+ 人标记参加（平台实时数字）；机库场地可容纳 6,000 人</t>
        </is>
      </c>
      <c r="K11" s="8" t="inlineStr">
        <is>
          <t>https://www.skiddle.com/whats-on/Gateshead/Gateshead-Stadium/ ; https://www.skiddle.com/artists/Ben-Hemsley-123570182/</t>
        </is>
      </c>
      <c r="L11" s="8" t="inlineStr">
        <is>
          <t>万圣节当天东北部最大的 house / trance 活动之一；限 18 岁以上；地铁可直达</t>
        </is>
      </c>
      <c r="M11" s="8" t="inlineStr">
        <is>
          <t>Newcastle university / Newcastle university 2 / Northumbria university</t>
        </is>
      </c>
      <c r="N11" s="8" t="inlineStr">
        <is>
          <t>未取图：云端环境出站被拦（WebFetch EGRESS_BLOCKED），需在本地 Claude Code 补</t>
        </is>
      </c>
      <c r="O11" s="8" t="inlineStr">
        <is>
          <t>未完成</t>
        </is>
      </c>
    </row>
    <row r="12" ht="71.5" customHeight="1">
      <c r="A12" s="5" t="n"/>
      <c r="B12" s="6" t="n"/>
      <c r="C12" s="7" t="n"/>
      <c r="D12" s="5" t="inlineStr">
        <is>
          <t>Core. 重型音乐节（Pig Destroyer / Eyehategod / Wormrot / Raging Speedhorn 等）</t>
        </is>
      </c>
      <c r="E12" s="5" t="inlineStr">
        <is>
          <t>Glasgow 多个场地：The Art School（20 Scott Street）、Nice N Sleazy（421 Sauchiehall Street）、Garnethill Multicultural Centre、Woodside Hall（11/15 Pig Destroyer 场）</t>
        </is>
      </c>
      <c r="F12" s="5" t="inlineStr">
        <is>
          <t>venue_only</t>
        </is>
      </c>
      <c r="G12" s="8" t="inlineStr">
        <is>
          <t>13–15 Nov 2026</t>
        </is>
      </c>
      <c r="H12" s="8" t="inlineStr">
        <is>
          <t>年轻人娱乐(Live Music/金属)</t>
        </is>
      </c>
      <c r="I12" s="10" t="inlineStr">
        <is>
          <t>中热度</t>
        </is>
      </c>
      <c r="J12" s="8" t="inlineStr">
        <is>
          <t>What's On Glasgow 收录，号称"苏格兰最新的重型音乐节"，今年第二届；阵容里有 Pig Destroyer、Eyehategod 等国际乐队</t>
        </is>
      </c>
      <c r="K12" s="8" t="inlineStr">
        <is>
          <t>https://www.whatsonglasgow.co.uk/event/118210-core./ ; https://corepresents.seetickets.com/search/all</t>
        </is>
      </c>
      <c r="L12" s="8" t="inlineStr">
        <is>
          <t>金属、硬核爱好者的周末；多个场馆可以串场</t>
        </is>
      </c>
      <c r="M12" s="8" t="inlineStr">
        <is>
          <t>Glasgow City College / Glasgow Caledonian University / University of Strathclyde</t>
        </is>
      </c>
      <c r="N12" s="8" t="inlineStr">
        <is>
          <t>未取图：云端环境出站被拦（WebFetch EGRESS_BLOCKED），需在本地 Claude Code 补</t>
        </is>
      </c>
      <c r="O12" s="8" t="inlineStr">
        <is>
          <t>未完成</t>
        </is>
      </c>
    </row>
    <row r="13" ht="71.5" customHeight="1">
      <c r="A13" s="5" t="n"/>
      <c r="B13" s="6" t="n"/>
      <c r="C13" s="7" t="n"/>
      <c r="D13" s="5" t="inlineStr">
        <is>
          <t>Skindred "You Got This" 巡演 格拉斯哥站</t>
        </is>
      </c>
      <c r="E13" s="5" t="inlineStr">
        <is>
          <t>Barrowland Ballroom, 244 Gallowgate, Glasgow G4 0TT</t>
        </is>
      </c>
      <c r="F13" s="5" t="inlineStr">
        <is>
          <t>exact</t>
        </is>
      </c>
      <c r="G13" s="8" t="inlineStr">
        <is>
          <t>13 Nov 2026（周五）19:00 开门</t>
        </is>
      </c>
      <c r="H13" s="8" t="inlineStr">
        <is>
          <t>年轻人娱乐(Live Music/摇滚)</t>
        </is>
      </c>
      <c r="I13" s="10" t="inlineStr">
        <is>
          <t>中热度</t>
        </is>
      </c>
      <c r="J13" s="8" t="inlineStr">
        <is>
          <t>全英巡演的格拉斯哥站，Visit Glasgow 有收录；和 Core. 音乐节同一个周末，但不属于 Core. 阵容</t>
        </is>
      </c>
      <c r="K13" s="8" t="inlineStr">
        <is>
          <t>https://www.visitglasgow.com/events/skindred-13112026-139289 ; https://www.kerrang.com/skindred-2026-uk-ireland-headline-tour-london-alexandra-palace-alien-ant-farm-spineshank-nu-metal</t>
        </is>
      </c>
      <c r="L13" s="8" t="inlineStr">
        <is>
          <t>Barrowland 是格拉斯哥的传奇场馆；14 岁以上可入场</t>
        </is>
      </c>
      <c r="M13" s="8" t="inlineStr">
        <is>
          <t>Glasgow City College / Glasgow Caledonian University / University of Strathclyde</t>
        </is>
      </c>
      <c r="N13" s="8" t="inlineStr">
        <is>
          <t>未取图：云端环境出站被拦（WebFetch EGRESS_BLOCKED），需在本地 Claude Code 补</t>
        </is>
      </c>
      <c r="O13" s="8" t="inlineStr">
        <is>
          <t>未完成</t>
        </is>
      </c>
    </row>
    <row r="14" ht="58" customHeight="1">
      <c r="A14" s="5" t="n"/>
      <c r="B14" s="6" t="n"/>
      <c r="C14" s="7" t="n"/>
      <c r="D14" s="5" t="inlineStr">
        <is>
          <t>Pop Mutations x Tiny Changes 小型音乐周末</t>
        </is>
      </c>
      <c r="E14" s="5" t="inlineStr">
        <is>
          <t>Glasgow 4 家场馆：The Old Hairdressers（Renfield Lane）、Stereo（Renfield Lane）、Mono（King's Court）、The Glad Café（Pollokshaws Road）</t>
        </is>
      </c>
      <c r="F14" s="5" t="inlineStr">
        <is>
          <t>venue_only</t>
        </is>
      </c>
      <c r="G14" s="8" t="inlineStr">
        <is>
          <t>13–14 Nov 2026</t>
        </is>
      </c>
      <c r="H14" s="8" t="inlineStr">
        <is>
          <t>年轻人娱乐(Live Music/独立音乐)</t>
        </is>
      </c>
      <c r="I14" s="10" t="inlineStr">
        <is>
          <t>中热度</t>
        </is>
      </c>
      <c r="J14" s="8" t="inlineStr">
        <is>
          <t>Clash 杂志、VisitScotland 报道；阵容有 Kathryn Joseph、Rozi Plain、The Pastels、Billy Nomates；和心理健康慈善机构 Tiny Changes 合办</t>
        </is>
      </c>
      <c r="K14" s="8" t="inlineStr">
        <is>
          <t>https://www.clashmusic.com/live/pop-mutations-x-tiny-changes-confirm-intimate-glasgow-weekender ; https://www.popmutations.com/events/pop-mutations-x-tiny-changes</t>
        </is>
      </c>
      <c r="L14" s="8" t="inlineStr">
        <is>
          <t>独立、小众音乐爱好者的首选，都在市中心小场馆，氛围好，票价通常不高</t>
        </is>
      </c>
      <c r="M14" s="8" t="inlineStr">
        <is>
          <t>Glasgow City College / Glasgow Caledonian University / University of Strathclyde</t>
        </is>
      </c>
      <c r="N14" s="8" t="inlineStr">
        <is>
          <t>未取图：云端环境出站被拦（WebFetch EGRESS_BLOCKED），需在本地 Claude Code 补</t>
        </is>
      </c>
      <c r="O14" s="8" t="inlineStr">
        <is>
          <t>未完成</t>
        </is>
      </c>
    </row>
    <row r="15" ht="71.5" customHeight="1">
      <c r="A15" s="5" t="n"/>
      <c r="B15" s="6" t="n"/>
      <c r="C15" s="7" t="n"/>
      <c r="D15" s="5" t="inlineStr">
        <is>
          <t>Skindred "You Got This" 巡演 伯明翰站</t>
        </is>
      </c>
      <c r="E15" s="5" t="inlineStr">
        <is>
          <t>O2 Academy Birmingham, 16–18 Horsefair, Bristol Street, Birmingham B1 1DB</t>
        </is>
      </c>
      <c r="F15" s="5" t="inlineStr">
        <is>
          <t>exact</t>
        </is>
      </c>
      <c r="G15" s="8" t="inlineStr">
        <is>
          <t>30 Oct 2026（周五）</t>
        </is>
      </c>
      <c r="H15" s="8" t="inlineStr">
        <is>
          <t>年轻人娱乐(Live Music/摇滚)</t>
        </is>
      </c>
      <c r="I15" s="10" t="inlineStr">
        <is>
          <t>中热度</t>
        </is>
      </c>
      <c r="J15" s="8" t="inlineStr">
        <is>
          <t>NME、Kerrang! 报道的全英巡演；See Tickets、Live Nation 正规售票；嘉宾 Alien Ant Farm、Spineshank</t>
        </is>
      </c>
      <c r="K15" s="8" t="inlineStr">
        <is>
          <t>https://www.seetickets.com/event/skindred-you-got-this-tour/o2-academy-birmingham/3619857 ; https://www.kerrang.com/skindred-2026-uk-ireland-headline-tour-london-alexandra-palace-alien-ant-farm-spineshank-nu-metal</t>
        </is>
      </c>
      <c r="L15" s="8" t="inlineStr">
        <is>
          <t>万圣节前夜的摇滚场，O2 Academy 就在市中心，BCU 和 SCCB 过去都方便</t>
        </is>
      </c>
      <c r="M15" s="8" t="inlineStr">
        <is>
          <t>BCU Fresher Hub 2026 / Aston Fresher Hub 2026 / SCCB| Birmingham Student Life</t>
        </is>
      </c>
      <c r="N15" s="8" t="inlineStr">
        <is>
          <t>未取图：云端环境出站被拦（WebFetch EGRESS_BLOCKED），需在本地 Claude Code 补</t>
        </is>
      </c>
      <c r="O15" s="8" t="inlineStr">
        <is>
          <t>未完成</t>
        </is>
      </c>
    </row>
    <row r="16" ht="71.5" customHeight="1">
      <c r="A16" s="5" t="n"/>
      <c r="B16" s="6" t="n"/>
      <c r="C16" s="7" t="n"/>
      <c r="D16" s="5" t="inlineStr">
        <is>
          <t>Reverend and The Makers 演唱会</t>
        </is>
      </c>
      <c r="E16" s="5" t="inlineStr">
        <is>
          <t>Northumbria Students' Union, 2 Sandyford Road, Newcastle upon Tyne NE1 8SB</t>
        </is>
      </c>
      <c r="F16" s="5" t="inlineStr">
        <is>
          <t>exact</t>
        </is>
      </c>
      <c r="G16" s="8" t="inlineStr">
        <is>
          <t>14 Nov 2026（周六）19:00 开门</t>
        </is>
      </c>
      <c r="H16" s="8" t="inlineStr">
        <is>
          <t>年轻人娱乐(Live Music/独立摇滚)</t>
        </is>
      </c>
      <c r="I16" s="10" t="inlineStr">
        <is>
          <t>中热度</t>
        </is>
      </c>
      <c r="J16" s="8" t="inlineStr">
        <is>
          <t>SJM Concerts 主办，Ticketmaster / Songkick / Bandsintown 都有正式票务页；成熟乐队巡演</t>
        </is>
      </c>
      <c r="K16" s="8" t="inlineStr">
        <is>
          <t>https://www.songkick.com/concerts/43167629-reverend-and-the-makers-at-northumbria-students-union ; https://www.ents24.com/newcastle-upon-tyne-events/northumbria-university-students-union/reverend-and-the-makers/7473947</t>
        </is>
      </c>
      <c r="L16" s="8" t="inlineStr">
        <is>
          <t>就在 Northumbria 学生会里，在校生走路就到</t>
        </is>
      </c>
      <c r="M16" s="8" t="inlineStr">
        <is>
          <t>Newcastle university / Newcastle university 2 / Northumbria university</t>
        </is>
      </c>
      <c r="N16" s="8" t="inlineStr">
        <is>
          <t>未取图：云端环境出站被拦（WebFetch EGRESS_BLOCKED），需在本地 Claude Code 补</t>
        </is>
      </c>
      <c r="O16" s="8" t="inlineStr">
        <is>
          <t>未完成</t>
        </is>
      </c>
    </row>
    <row r="17" ht="58" customHeight="1">
      <c r="A17" s="5" t="n"/>
      <c r="B17" s="6" t="n"/>
      <c r="C17" s="7" t="n"/>
      <c r="D17" s="5" t="inlineStr">
        <is>
          <t>Embrace 30 周年巡演（嘉宾：The Rolling People / The Bunny Suit）</t>
        </is>
      </c>
      <c r="E17" s="5" t="inlineStr">
        <is>
          <t>O2 Academy Leeds, 55 Cookridge Street, Leeds LS2 3AW</t>
        </is>
      </c>
      <c r="F17" s="5" t="inlineStr">
        <is>
          <t>exact</t>
        </is>
      </c>
      <c r="G17" s="8" t="inlineStr">
        <is>
          <t>13 Nov 2026（周五）19:00</t>
        </is>
      </c>
      <c r="H17" s="8" t="inlineStr">
        <is>
          <t>年轻人娱乐(Live Music/英伦摇滚)</t>
        </is>
      </c>
      <c r="I17" s="10" t="inlineStr">
        <is>
          <t>中热度</t>
        </is>
      </c>
      <c r="J17" s="8" t="inlineStr">
        <is>
          <t>Live Nation / Academy Music Group 正式售票；乐队 30 周年新专辑巡演</t>
        </is>
      </c>
      <c r="K17" s="8" t="inlineStr">
        <is>
          <t>https://www.academymusicgroup.com/o2academyleeds/events/embrace-tickets-ae136632 ; https://www.gigsandtours.com/event/embrace/o2-academy-leeds/3605026</t>
        </is>
      </c>
      <c r="L17" s="8" t="inlineStr">
        <is>
          <t>票价约 £37.70；场馆离 Leeds 大学、Leeds Beckett 都近</t>
        </is>
      </c>
      <c r="M17" s="8" t="inlineStr">
        <is>
          <t>Leeds Uni Student Hub / Leeds University group 2</t>
        </is>
      </c>
      <c r="N17" s="8" t="inlineStr">
        <is>
          <t>未取图：云端环境出站被拦（WebFetch EGRESS_BLOCKED），需在本地 Claude Code 补</t>
        </is>
      </c>
      <c r="O17" s="8" t="inlineStr">
        <is>
          <t>未完成</t>
        </is>
      </c>
    </row>
    <row r="18" ht="71.5" customHeight="1">
      <c r="A18" s="5" t="inlineStr">
        <is>
          <t>Page Turners Club</t>
        </is>
      </c>
      <c r="B18" s="6" t="inlineStr">
        <is>
          <t>待制作：Page Turners Club.png</t>
        </is>
      </c>
      <c r="C18" s="7" t="inlineStr">
        <is>
          <t>🔍 Event Radar (UK) — what's worth doing this month.
This month: BOOKS &amp; STORIES 👇
📖 Scottish International Storytelling Festival, Edinburgh — tales of "Bird &amp; Beast" on the Royal Mile, 21–31 Oct.
📚 Off the Shelf Festival of Words, Sheffield — talks, readings and screenings, to 25 Oct.</t>
        </is>
      </c>
      <c r="D18" s="5" t="inlineStr">
        <is>
          <t>Scottish International Storytelling Festival 2026（主题：Bird &amp; Beast）</t>
        </is>
      </c>
      <c r="E18" s="5" t="inlineStr">
        <is>
          <t>Scottish Storytelling Centre, 43–45 High Street, Edinburgh EH1 1SR（主场馆 Netherbow Theatre）</t>
        </is>
      </c>
      <c r="F18" s="5" t="inlineStr">
        <is>
          <t>exact</t>
        </is>
      </c>
      <c r="G18" s="8" t="inlineStr">
        <is>
          <t>21–31 Oct 2026</t>
        </is>
      </c>
      <c r="H18" s="8" t="inlineStr">
        <is>
          <t>兴趣类(文学/讲故事)</t>
        </is>
      </c>
      <c r="I18" s="10" t="inlineStr">
        <is>
          <t>中热度</t>
        </is>
      </c>
      <c r="J18" s="8" t="inlineStr">
        <is>
          <t>年年举办的国际讲故事节，Edinburgh Festival City 和 Forever Edinburgh 官方都有收录；合作场地有 Royal Botanic Garden、National Library of Scotland</t>
        </is>
      </c>
      <c r="K18" s="8" t="inlineStr">
        <is>
          <t>https://www.sisf.org.uk/ ; https://www.edinburghfestivalcity.com/festivals/scottish-international-storytelling-festival ; https://theqr.co.uk/2026/09/15/scottish-storytelling-festival-2026-returns-with-bird-beast/</t>
        </is>
      </c>
      <c r="L18" s="8" t="inlineStr">
        <is>
          <t>文学、苏格兰文化爱好者会喜欢；在 Royal Mile 上，很多场次价格不高</t>
        </is>
      </c>
      <c r="M18" s="8" t="inlineStr">
        <is>
          <t>Heriot-Watt University / University of Edinburgh Freshers 2026</t>
        </is>
      </c>
      <c r="N18" s="8" t="inlineStr">
        <is>
          <t>未取图：云端环境出站被拦（WebFetch EGRESS_BLOCKED），需在本地 Claude Code 补</t>
        </is>
      </c>
      <c r="O18" s="8" t="inlineStr">
        <is>
          <t>未完成</t>
        </is>
      </c>
    </row>
    <row r="19" ht="58" customHeight="1">
      <c r="A19" s="5" t="n"/>
      <c r="B19" s="6" t="n"/>
      <c r="C19" s="7" t="n"/>
      <c r="D19" s="5" t="inlineStr">
        <is>
          <t>Off the Shelf Festival of Words 2026</t>
        </is>
      </c>
      <c r="E19" s="5" t="inlineStr">
        <is>
          <t>Sheffield 多个场地：Montgomery Theatre（27 Surrey Street）、Lyceum Theatre、Firth Hall（University of Sheffield）、Millennium Gallery 等</t>
        </is>
      </c>
      <c r="F19" s="5" t="inlineStr">
        <is>
          <t>venue_only</t>
        </is>
      </c>
      <c r="G19" s="8" t="inlineStr">
        <is>
          <t>9–25 Oct 2026（窗口内为 15–25 Oct）</t>
        </is>
      </c>
      <c r="H19" s="8" t="inlineStr">
        <is>
          <t>兴趣类(文学/讲座)</t>
        </is>
      </c>
      <c r="I19" s="10" t="inlineStr">
        <is>
          <t>中热度</t>
        </is>
      </c>
      <c r="J19" s="8" t="inlineStr">
        <is>
          <t>谢菲尔德官方旅游网站列为"headline event"；年年举办的大型文学节，有数百场活动</t>
        </is>
      </c>
      <c r="K19" s="8" t="inlineStr">
        <is>
          <t>https://www.welcometosheffield.co.uk/content/events/off-the-shelf-festival-of-words-2026/</t>
        </is>
      </c>
      <c r="L19" s="8" t="inlineStr">
        <is>
          <t>有讲座、朗读、放映，很多场次免费或便宜；由谢菲尔德大学参与主办</t>
        </is>
      </c>
      <c r="M19" s="8" t="inlineStr">
        <is>
          <t>Sheffield Hallam University / University of Sheffield</t>
        </is>
      </c>
      <c r="N19" s="8" t="inlineStr">
        <is>
          <t>未取图：云端环境出站被拦（WebFetch EGRESS_BLOCKED），需在本地 Claude Code 补</t>
        </is>
      </c>
      <c r="O19" s="8" t="inlineStr">
        <is>
          <t>未完成</t>
        </is>
      </c>
    </row>
    <row r="20" ht="71.5" customHeight="1">
      <c r="A20" s="5" t="inlineStr">
        <is>
          <t>Reel Talk Club</t>
        </is>
      </c>
      <c r="B20" s="6" t="inlineStr">
        <is>
          <t>待制作：Reel Talk Club.png</t>
        </is>
      </c>
      <c r="C20" s="7" t="inlineStr">
        <is>
          <t>🔍 Event Radar (UK) — what's worth doing this month.
This month: FILM 👇
🎬 BFI London Film Festival, Southbank — the 70th edition's final days &amp; closing gala, to 18 Oct.
🎬 Leeds International Film Festival, Leeds — the 40th edition at Hyde Park Picture House &amp; more, 29 Oct–15 Nov.
🔮 The Craft 30th Anniversary Screening, Salford — an immersive witchy Halloween movie night by Girl Gang, 31 Oct.
🏳️‍🌈 Iris Prize LGBTQ+ Film Festival, Cardiff — 20th anniversary &amp; awards night, to 18 Oct.
🎞️ Edinburgh Short Film Festival, Edinburgh — bite-size screenings for film lovers, 6–22 Nov.</t>
        </is>
      </c>
      <c r="D20" s="5" t="inlineStr">
        <is>
          <t>BFI London Film Festival 第 70 届（最后几天 + 闭幕）</t>
        </is>
      </c>
      <c r="E20" s="5" t="inlineStr">
        <is>
          <t>BFI Southbank, Belvedere Road, London SE1 8XT（闭幕式：Royal Festival Hall, Southbank Centre）</t>
        </is>
      </c>
      <c r="F20" s="5" t="inlineStr">
        <is>
          <t>exact</t>
        </is>
      </c>
      <c r="G20" s="8" t="inlineStr">
        <is>
          <t>7–18 Oct 2026（窗口内为 15–18 Oct；闭幕 18 Oct）</t>
        </is>
      </c>
      <c r="H20" s="8" t="inlineStr">
        <is>
          <t>电影/媒体</t>
        </is>
      </c>
      <c r="I20" s="9" t="inlineStr">
        <is>
          <t>高热度</t>
        </is>
      </c>
      <c r="J20" s="8" t="inlineStr">
        <is>
          <t>第 70 届，英国最重要的电影节之一；闭幕片 The Debut（Jesse Eisenberg）英国首映</t>
        </is>
      </c>
      <c r="K20" s="8" t="inlineStr">
        <is>
          <t>https://whatson.bfi.org.uk/lff/Online/default.asp ; https://en.wikipedia.org/wiki/2026_BFI_London_Film_Festival</t>
        </is>
      </c>
      <c r="L20" s="8" t="inlineStr">
        <is>
          <t>大量首映场，有不少普通票价场次；KCL 就在隔壁。窗口只覆盖最后 4 天，要推得早</t>
        </is>
      </c>
      <c r="M20" s="8" t="inlineStr">
        <is>
          <t>UCL Hub / IC Collective / Royal College of Art / King's College London / London School of Economics / Queen Mary University of London</t>
        </is>
      </c>
      <c r="N20" s="8" t="inlineStr">
        <is>
          <t>未取图：云端环境出站被拦（WebFetch EGRESS_BLOCKED），需在本地 Claude Code 补</t>
        </is>
      </c>
      <c r="O20" s="8" t="inlineStr">
        <is>
          <t>未完成</t>
        </is>
      </c>
    </row>
    <row r="21" ht="71.5" customHeight="1">
      <c r="A21" s="5" t="n"/>
      <c r="B21" s="6" t="n"/>
      <c r="C21" s="7" t="n"/>
      <c r="D21" s="5" t="inlineStr">
        <is>
          <t>Leeds International Film Festival（第 40 届）</t>
        </is>
      </c>
      <c r="E21" s="5" t="inlineStr">
        <is>
          <t>Hyde Park Picture House, 73 Brudenell Road, Leeds LS6 1JD / Everyman Leeds 等多个影院</t>
        </is>
      </c>
      <c r="F21" s="5" t="inlineStr">
        <is>
          <t>venue_only</t>
        </is>
      </c>
      <c r="G21" s="8" t="inlineStr">
        <is>
          <t>29 Oct – 15 Nov 2026（有来源写 5–22 Nov；主流来源和官方节目时间表都写 29 Oct 开始）</t>
        </is>
      </c>
      <c r="H21" s="8" t="inlineStr">
        <is>
          <t>电影/媒体</t>
        </is>
      </c>
      <c r="I21" s="9" t="inlineStr">
        <is>
          <t>高热度</t>
        </is>
      </c>
      <c r="J21" s="8" t="inlineStr">
        <is>
          <t>第 40 届，英国历史最悠久的电影节之一；10/1 节目上线、10/8 单片开票（YEP 报道）</t>
        </is>
      </c>
      <c r="K21" s="8" t="inlineStr">
        <is>
          <t>https://www.leedsfilm.com/liff-2026-6ftb ; https://www.yorkshireeveningpost.co.uk/whats-on/arts-and-entertainment/leeds-international-film-festival-2026-opening-films-liff-40th-9021020</t>
        </is>
      </c>
      <c r="L21" s="8" t="inlineStr">
        <is>
          <t>Hyde Park Picture House 就在 Leeds 大学学生区旁边；几乎整个窗口期都有放映</t>
        </is>
      </c>
      <c r="M21" s="8" t="inlineStr">
        <is>
          <t>Leeds Uni Student Hub / Leeds University group 2</t>
        </is>
      </c>
      <c r="N21" s="8" t="inlineStr">
        <is>
          <t>未取图：云端环境出站被拦（WebFetch EGRESS_BLOCKED），需在本地 Claude Code 补</t>
        </is>
      </c>
      <c r="O21" s="8" t="inlineStr">
        <is>
          <t>未完成</t>
        </is>
      </c>
    </row>
    <row r="22" ht="58" customHeight="1">
      <c r="A22" s="5" t="n"/>
      <c r="B22" s="6" t="n"/>
      <c r="C22" s="7" t="n"/>
      <c r="D22" s="5" t="inlineStr">
        <is>
          <t>Girl Gang MCR：The Craft 30 周年沉浸式放映</t>
        </is>
      </c>
      <c r="E22" s="5" t="inlineStr">
        <is>
          <t>Islington Mill, James Street, Salford M3 5HW</t>
        </is>
      </c>
      <c r="F22" s="5" t="inlineStr">
        <is>
          <t>exact</t>
        </is>
      </c>
      <c r="G22" s="8" t="inlineStr">
        <is>
          <t>31 Oct 2026（周六）18:00–24:00</t>
        </is>
      </c>
      <c r="H22" s="8" t="inlineStr">
        <is>
          <t>电影/媒体 + 社交类(女性)</t>
        </is>
      </c>
      <c r="I22" s="10" t="inlineStr">
        <is>
          <t>中热度</t>
        </is>
      </c>
      <c r="J22" s="8" t="inlineStr">
        <is>
          <t>票务页显示"1/3 Sold"（真实售票信号）；主办方两次获 Film Society of the Year "Best Single Event"</t>
        </is>
      </c>
      <c r="K22" s="8" t="inlineStr">
        <is>
          <t>https://www.tickettailor.com/events/girlgangmcr/2344142 ; https://girlgangmcr.com/previous-projects/immersive-screenings/</t>
        </is>
      </c>
      <c r="L22" s="8" t="inlineStr">
        <is>
          <t>万圣节当晚的女巫主题放映，带 disco 和手工环节，女生结伴去很合适；注意 Girl Gang 受众年龄偏宽（16–80）</t>
        </is>
      </c>
      <c r="M22" s="8" t="inlineStr">
        <is>
          <t>Girls' Corner；The University of Manchester</t>
        </is>
      </c>
      <c r="N22" s="8" t="inlineStr">
        <is>
          <t>未取图：云端环境出站被拦（WebFetch EGRESS_BLOCKED），需在本地 Claude Code 补</t>
        </is>
      </c>
      <c r="O22" s="8" t="inlineStr">
        <is>
          <t>未完成</t>
        </is>
      </c>
    </row>
    <row r="23" ht="58" customHeight="1">
      <c r="A23" s="5" t="n"/>
      <c r="B23" s="6" t="n"/>
      <c r="C23" s="7" t="n"/>
      <c r="D23" s="5" t="inlineStr">
        <is>
          <t>Iris Prize LGBTQ+ Film Festival 20 周年</t>
        </is>
      </c>
      <c r="E23" s="5" t="inlineStr">
        <is>
          <t>Cineworld Cardiff, Mary Ann Street, Cardiff CF10 2EN（主场馆）</t>
        </is>
      </c>
      <c r="F23" s="5" t="inlineStr">
        <is>
          <t>exact</t>
        </is>
      </c>
      <c r="G23" s="8" t="inlineStr">
        <is>
          <t>12–18 Oct 2026（窗口内为 15–18 Oct；18 Oct 颁奖）</t>
        </is>
      </c>
      <c r="H23" s="8" t="inlineStr">
        <is>
          <t>电影/媒体</t>
        </is>
      </c>
      <c r="I23" s="10" t="inlineStr">
        <is>
          <t>中热度</t>
        </is>
      </c>
      <c r="J23" s="8" t="inlineStr">
        <is>
          <t>第 20 届，Visit Cardiff、Visit Wales 官方收录；Iris Prize 是有影响力的 LGBTQ+ 短片奖</t>
        </is>
      </c>
      <c r="K23" s="8" t="inlineStr">
        <is>
          <t>https://irisprize.org/ ; https://www.visitcardiff.com/events/iris-prize/</t>
        </is>
      </c>
      <c r="L23" s="8" t="inlineStr">
        <is>
          <t>窗口内有 Best British Day、20 周年庆典、颁奖夜；要推得早</t>
        </is>
      </c>
      <c r="M23" s="8" t="inlineStr">
        <is>
          <t>University of Cardiff / Cardiff Metropolitan University</t>
        </is>
      </c>
      <c r="N23" s="8" t="inlineStr">
        <is>
          <t>未取图：云端环境出站被拦（WebFetch EGRESS_BLOCKED），需在本地 Claude Code 补</t>
        </is>
      </c>
      <c r="O23" s="8" t="inlineStr">
        <is>
          <t>未完成</t>
        </is>
      </c>
    </row>
    <row r="24" ht="58" customHeight="1">
      <c r="A24" s="5" t="n"/>
      <c r="B24" s="6" t="n"/>
      <c r="C24" s="7" t="n"/>
      <c r="D24" s="5" t="inlineStr">
        <is>
          <t>Edinburgh Short Film Festival（第 16 届）</t>
        </is>
      </c>
      <c r="E24" s="5" t="inlineStr">
        <is>
          <t>Filmhouse, 88 Lothian Road, Edinburgh EH3 9BZ / Summerhall, Edinburgh</t>
        </is>
      </c>
      <c r="F24" s="5" t="inlineStr">
        <is>
          <t>exact</t>
        </is>
      </c>
      <c r="G24" s="8" t="inlineStr">
        <is>
          <t>6–22 Nov 2026（窗口内为 6–15 Nov）</t>
        </is>
      </c>
      <c r="H24" s="8" t="inlineStr">
        <is>
          <t>电影/媒体</t>
        </is>
      </c>
      <c r="I24" s="11" t="inlineStr">
        <is>
          <t>潜在价值</t>
        </is>
      </c>
      <c r="J24" s="8" t="inlineStr">
        <is>
          <t>已办到第 16 届，在 FilmFreeway / Festhome 正规征片；没搜到售票数据</t>
        </is>
      </c>
      <c r="K24" s="8" t="inlineStr">
        <is>
          <t>https://filmfreeway.com/EdinburghShortFilmFestival ; https://www.awn.com/event/edinburgh-short-film-festival-2026</t>
        </is>
      </c>
      <c r="L24" s="8" t="inlineStr">
        <is>
          <t>短片放映门槛低，适合电影爱好者和传媒专业学生；具体场地和场次要看官网</t>
        </is>
      </c>
      <c r="M24" s="8" t="inlineStr">
        <is>
          <t>Heriot-Watt University / University of Edinburgh Freshers 2026</t>
        </is>
      </c>
      <c r="N24" s="8" t="inlineStr">
        <is>
          <t>未取图：云端环境出站被拦（WebFetch EGRESS_BLOCKED），需在本地 Claude Code 补</t>
        </is>
      </c>
      <c r="O24" s="8" t="inlineStr">
        <is>
          <t>未完成</t>
        </is>
      </c>
    </row>
    <row r="25" ht="71.5" customHeight="1">
      <c r="A25" s="5" t="inlineStr">
        <is>
          <t>Snack Finds &amp; Picks</t>
        </is>
      </c>
      <c r="B25" s="6" t="inlineStr">
        <is>
          <t>待制作：Snack Finds &amp; Picks.png</t>
        </is>
      </c>
      <c r="C25" s="7" t="inlineStr">
        <is>
          <t>🔍 Event Radar (UK) — what's worth doing this month.
This month: FESTIVE FOOD MARKETS 👇
🎄 Frankfurt Christmas Market, Birmingham — German food &amp; mulled wine by New Street, from 5 Nov.</t>
        </is>
      </c>
      <c r="D25" s="5" t="inlineStr">
        <is>
          <t>Birmingham's Frankfurt Christmas Market 2026</t>
        </is>
      </c>
      <c r="E25" s="5" t="inlineStr">
        <is>
          <t>Victoria Square &amp; New Street（Corporation Street 至 Bullring 段）, Birmingham city centre</t>
        </is>
      </c>
      <c r="F25" s="5" t="inlineStr">
        <is>
          <t>venue_only</t>
        </is>
      </c>
      <c r="G25" s="8" t="inlineStr">
        <is>
          <t>5 Nov – 24 Dec 2026（窗口内为 5–15 Nov；8 Nov 纪念日星期天 13:00 开）</t>
        </is>
      </c>
      <c r="H25" s="8" t="inlineStr">
        <is>
          <t>本地生活类(集市/美食)</t>
        </is>
      </c>
      <c r="I25" s="9" t="inlineStr">
        <is>
          <t>高热度</t>
        </is>
      </c>
      <c r="J25" s="8" t="inlineStr">
        <is>
          <t>伯明翰市议会官方公布日期；年年举办，号称德国、奥地利以外最大的正宗德式圣诞市集（主办方说法）</t>
        </is>
      </c>
      <c r="K25" s="8" t="inlineStr">
        <is>
          <t>https://www.birmingham.gov.uk/news/article/1841/birminghams_frankfurt_christmas_market_dates_confirmed ; https://thebfcm.co.uk/ ; https://www.centralbid.co.uk/events/birminghams-frankfurt-christmas-market-2026/</t>
        </is>
      </c>
      <c r="L25" s="8" t="inlineStr">
        <is>
          <t>免费入场，就在 New Street 站旁，吃喝逛一站搞定</t>
        </is>
      </c>
      <c r="M25" s="8" t="inlineStr">
        <is>
          <t>UK Food Lovers；BCU Fresher Hub 2026 / Aston Fresher Hub 2026 / SCCB| Birmingham Student Life</t>
        </is>
      </c>
      <c r="N25" s="8" t="inlineStr">
        <is>
          <t>未取图：云端环境出站被拦（WebFetch EGRESS_BLOCKED），需在本地 Claude Code 补</t>
        </is>
      </c>
      <c r="O25" s="8" t="inlineStr">
        <is>
          <t>未完成</t>
        </is>
      </c>
    </row>
    <row r="26" ht="73.5" customHeight="1">
      <c r="A26" s="5" t="inlineStr">
        <is>
          <t>Swim Wave Tribe</t>
        </is>
      </c>
      <c r="B26" s="6" t="inlineStr">
        <is>
          <t>待制作：Swim Wave Tribe.png</t>
        </is>
      </c>
      <c r="C26" s="7" t="inlineStr">
        <is>
          <t>🔍 Event Radar (UK) — what's worth doing this month.
This month: WILD SWIMMING 👇
🏊 Capernwray Lake Swim, Carnforth — a late-season open-water swim (cold-water experience needed), 31 Oct.</t>
        </is>
      </c>
      <c r="D26" s="5" t="inlineStr">
        <is>
          <t>Capernwray 湖泊公开水域游泳（Lake Swim）</t>
        </is>
      </c>
      <c r="E26" s="5" t="inlineStr">
        <is>
          <t>Capernwray Diving Centre, Jackdaw Quarry, Capernwray Road, Over Kellet, Carnforth LA6 1AD</t>
        </is>
      </c>
      <c r="F26" s="5" t="inlineStr">
        <is>
          <t>exact</t>
        </is>
      </c>
      <c r="G26" s="8" t="inlineStr">
        <is>
          <t>31 Oct 2026</t>
        </is>
      </c>
      <c r="H26" s="8" t="inlineStr">
        <is>
          <t>运动户外(游泳)</t>
        </is>
      </c>
      <c r="I26" s="11" t="inlineStr">
        <is>
          <t>潜在价值</t>
        </is>
      </c>
      <c r="J26" s="8" t="inlineStr">
        <is>
          <t>仅见于 Outdoor Swimmer 杂志活动日历；主办方未核实（疑为 T2 Events，他们在该场地办过比赛）；无报名数据</t>
        </is>
      </c>
      <c r="K26" s="8" t="inlineStr">
        <is>
          <t>https://outdoorswimmer.com/events/ ; https://www.t2.events/our-events/capernwray-open-water-swim/</t>
        </is>
      </c>
      <c r="L26" s="8" t="inlineStr">
        <is>
          <t>窗口内极少数的户外游泳活动，10 月底水温很低，只适合有冷水经验的人；离 Lancaster 大学约 10 公里</t>
        </is>
      </c>
      <c r="M26" s="8" t="inlineStr">
        <is>
          <t>University of Lancaster</t>
        </is>
      </c>
      <c r="N26" s="8" t="inlineStr">
        <is>
          <t>未取图：云端环境出站被拦（WebFetch EGRESS_BLOCKED），需在本地 Claude Code 补</t>
        </is>
      </c>
      <c r="O26" s="8" t="inlineStr">
        <is>
          <t>未完成</t>
        </is>
      </c>
    </row>
    <row r="27" ht="71.5" customHeight="1">
      <c r="A27" s="5" t="inlineStr">
        <is>
          <t>UK Food Lovers</t>
        </is>
      </c>
      <c r="B27" s="6" t="inlineStr">
        <is>
          <t>待制作：UK Food Lovers.png</t>
        </is>
      </c>
      <c r="C27" s="7" t="inlineStr">
        <is>
          <t>🔍 Event Radar (UK) — what's worth doing this month.
This month: FESTIVE FOOD MARKETS 👇
🎄 Frankfurt Christmas Market, Birmingham — German food &amp; mulled wine by New Street, from 5 Nov.
🎄 Manchester Christmas Markets, Manchester city centre — the markets are back, free to wander, from 6 Nov.</t>
        </is>
      </c>
      <c r="D27" s="5" t="inlineStr">
        <is>
          <t>Birmingham's Frankfurt Christmas Market 2026</t>
        </is>
      </c>
      <c r="E27" s="5" t="inlineStr">
        <is>
          <t>Victoria Square &amp; New Street（Corporation Street 至 Bullring 段）, Birmingham city centre</t>
        </is>
      </c>
      <c r="F27" s="5" t="inlineStr">
        <is>
          <t>venue_only</t>
        </is>
      </c>
      <c r="G27" s="8" t="inlineStr">
        <is>
          <t>5 Nov – 24 Dec 2026（窗口内为 5–15 Nov；8 Nov 纪念日星期天 13:00 开）</t>
        </is>
      </c>
      <c r="H27" s="8" t="inlineStr">
        <is>
          <t>本地生活类(集市/美食)</t>
        </is>
      </c>
      <c r="I27" s="9" t="inlineStr">
        <is>
          <t>高热度</t>
        </is>
      </c>
      <c r="J27" s="8" t="inlineStr">
        <is>
          <t>伯明翰市议会官方公布日期；年年举办，号称德国、奥地利以外最大的正宗德式圣诞市集（主办方说法）</t>
        </is>
      </c>
      <c r="K27" s="8" t="inlineStr">
        <is>
          <t>https://www.birmingham.gov.uk/news/article/1841/birminghams_frankfurt_christmas_market_dates_confirmed ; https://thebfcm.co.uk/ ; https://www.centralbid.co.uk/events/birminghams-frankfurt-christmas-market-2026/</t>
        </is>
      </c>
      <c r="L27" s="8" t="inlineStr">
        <is>
          <t>免费入场，就在 New Street 站旁，吃喝逛一站搞定</t>
        </is>
      </c>
      <c r="M27" s="8" t="inlineStr">
        <is>
          <t>Snack Finds &amp; Picks；BCU Fresher Hub 2026 / Aston Fresher Hub 2026 / SCCB| Birmingham Student Life</t>
        </is>
      </c>
      <c r="N27" s="8" t="inlineStr">
        <is>
          <t>未取图：云端环境出站被拦（WebFetch EGRESS_BLOCKED），需在本地 Claude Code 补</t>
        </is>
      </c>
      <c r="O27" s="8" t="inlineStr">
        <is>
          <t>未完成</t>
        </is>
      </c>
    </row>
    <row r="28" ht="71.5" customHeight="1">
      <c r="A28" s="5" t="n"/>
      <c r="B28" s="6" t="n"/>
      <c r="C28" s="7" t="n"/>
      <c r="D28" s="5" t="inlineStr">
        <is>
          <t>Manchester Christmas Markets 2026</t>
        </is>
      </c>
      <c r="E28" s="5" t="inlineStr">
        <is>
          <t>Albert Square / Cathedral Gardens / Exchange Square 等，Manchester city centre</t>
        </is>
      </c>
      <c r="F28" s="5" t="inlineStr">
        <is>
          <t>venue_only</t>
        </is>
      </c>
      <c r="G28" s="8" t="inlineStr">
        <is>
          <t>6 Nov – 22 Dec 2026（Albert Square、Cathedral Gardens 开到 3 Jan 2027；窗口内为 6–15 Nov）</t>
        </is>
      </c>
      <c r="H28" s="8" t="inlineStr">
        <is>
          <t>本地生活类(集市/美食)</t>
        </is>
      </c>
      <c r="I28" s="9" t="inlineStr">
        <is>
          <t>高热度</t>
        </is>
      </c>
      <c r="J28" s="8" t="inlineStr">
        <is>
          <t>年年举办的全英知名圣诞市集，The Manc 报道了 2026 年开市日期和新增点位</t>
        </is>
      </c>
      <c r="K28" s="8" t="inlineStr">
        <is>
          <t>https://themanc.com/news/manchester-christmas-markets-2026-opening-date-announced-including-new-spots/ ; https://www.visitmanchester.com/whats-on/whats-on-this-christmas-in-manchester/</t>
        </is>
      </c>
      <c r="L28" s="8" t="inlineStr">
        <is>
          <t>免费入场，市中心多个点位，逛吃一条龙</t>
        </is>
      </c>
      <c r="M28" s="8" t="inlineStr">
        <is>
          <t>The University of Manchester</t>
        </is>
      </c>
      <c r="N28" s="8" t="inlineStr">
        <is>
          <t>未取图：云端环境出站被拦（WebFetch EGRESS_BLOCKED），需在本地 Claude Code 补</t>
        </is>
      </c>
      <c r="O28" s="8" t="inlineStr">
        <is>
          <t>未完成</t>
        </is>
      </c>
    </row>
    <row r="29" ht="60" customHeight="1">
      <c r="A29" s="5" t="inlineStr">
        <is>
          <t>Valorant Riot Crew</t>
        </is>
      </c>
      <c r="B29" s="6" t="inlineStr">
        <is>
          <t>待制作：Valorant Riot Crew.png</t>
        </is>
      </c>
      <c r="C29" s="7" t="inlineStr">
        <is>
          <t>🔍 Event Radar (UK) — what's worth doing this month.
This month: VALORANT &amp; LAN 👇
🎯 EPIC49 LAN, Kettering — 4 days of LAN with a VALORANT tournament (BYOC ticket needed), 29 Oct–1 Nov.</t>
        </is>
      </c>
      <c r="D29" s="5" t="inlineStr">
        <is>
          <t>EPIC49 LAN Party（含 CS2 / VALORANT / StarCraft II / osu! 锦标赛）</t>
        </is>
      </c>
      <c r="E29" s="5" t="inlineStr">
        <is>
          <t>Arena Sports, Kettering Leisure Village, Thurston Drive, Kettering NN15 6PB</t>
        </is>
      </c>
      <c r="F29" s="5" t="inlineStr">
        <is>
          <t>exact</t>
        </is>
      </c>
      <c r="G29" s="8" t="inlineStr">
        <is>
          <t>29 Oct 16:00 – 1 Nov 16:00 2026（锦标赛在 30 Oct – 1 Nov）</t>
        </is>
      </c>
      <c r="H29" s="8" t="inlineStr">
        <is>
          <t>年轻人娱乐(电竞/LAN)</t>
        </is>
      </c>
      <c r="I29" s="9" t="inlineStr">
        <is>
          <t>高热度</t>
        </is>
      </c>
      <c r="J29" s="8" t="inlineStr">
        <is>
          <t>英国老牌 LAN 系列，已办到第 49 届，每年两届；这届 700 个电脑位；官网有 EPIC49 专页，赛事项目包括 CS2 和 VALORANT</t>
        </is>
      </c>
      <c r="K29" s="8" t="inlineStr">
        <is>
          <t>https://www.epiclan.co.uk/epic49 ; https://www.yorkshirepudd.co.uk/epic49-kettering-lan/ ; https://esportsinsider.com/2025/07/epic-lan-unveils-dates-for-2026-events</t>
        </is>
      </c>
      <c r="L29" s="8" t="inlineStr">
        <is>
          <t>自带电脑参加 4 天 LAN；报比赛必须买 BYOC 票，而且一张票只能报一个项目；万圣节夜有社区派对；票价没核实</t>
        </is>
      </c>
      <c r="M29" s="8" t="inlineStr">
        <is>
          <t>The Gaming Corner；CS2 Frag Hub</t>
        </is>
      </c>
      <c r="N29" s="8" t="inlineStr">
        <is>
          <t>未取图：云端环境出站被拦（WebFetch EGRESS_BLOCKED），需在本地 Claude Code 补</t>
        </is>
      </c>
      <c r="O29" s="8" t="inlineStr">
        <is>
          <t>未完成</t>
        </is>
      </c>
    </row>
    <row r="30" ht="71.5" customHeight="1">
      <c r="A30" s="5" t="inlineStr">
        <is>
          <t>UCL Hub / IC Collective / Royal College of Art / King's College London / London School of Economics / Queen Mary University of London</t>
        </is>
      </c>
      <c r="B30" s="6" t="inlineStr">
        <is>
          <t>待制作：UCL Hub.png</t>
        </is>
      </c>
      <c r="C30" s="7" t="inlineStr">
        <is>
          <t>🔍 Event Radar (UK) — what's worth doing this month.
This month: LONDON &amp; CAMPUS 👇
🦸 MCM Comic Con, London ExCeL — gaming, anime &amp; cosplay all weekend, 23–25 Oct.
🎬 BFI London Film Festival, Southbank — the 70th edition's final days &amp; closing gala, to 18 Oct.
🖼️ Frieze London, Regent's Park — one of the world's top art fairs, 15–18 Oct.
🎆 Ally Pally Fireworks &amp; Drone Festival, London — fireworks, drones and an Eats Everything DJ set, 7–8 Nov.
🎇 Battersea Park Fireworks, London — fireworks plus a Rudimental DJ set, 7–8 Nov.
🏰 Lord Mayor's Show, City of London — a centuries-old parade, free to watch, 14 Nov.
🎃 Skindred Halloween Special, Alexandra Palace — with Alien Ant Farm, Spineshank &amp; Orgy, 31 Oct.</t>
        </is>
      </c>
      <c r="D30" s="5" t="inlineStr">
        <is>
          <t>MCM Comic Con London（October 2026）</t>
        </is>
      </c>
      <c r="E30" s="5" t="inlineStr">
        <is>
          <t>ExCeL London, 1 Western Gateway, Royal Victoria Dock, London E16 1XL</t>
        </is>
      </c>
      <c r="F30" s="5" t="inlineStr">
        <is>
          <t>exact</t>
        </is>
      </c>
      <c r="G30" s="8" t="inlineStr">
        <is>
          <t>23–25 Oct 2026</t>
        </is>
      </c>
      <c r="H30" s="8" t="inlineStr">
        <is>
          <t>兴趣类(游戏/动漫/流行文化)</t>
        </is>
      </c>
      <c r="I30" s="9" t="inlineStr">
        <is>
          <t>高热度</t>
        </is>
      </c>
      <c r="J30" s="8" t="inlineStr">
        <is>
          <t>英国最大流行文化展之一，一年两届长期举办；官方已公布 Critical Role 为首批嘉宾</t>
        </is>
      </c>
      <c r="K30" s="8" t="inlineStr">
        <is>
          <t>https://www.mcmcomiccon.com/london/en-us/tickets.html ; https://www.excel.london/whats-on/mcm-comic-con-2026 ; https://www.mcmcomiccon.com/global/en-us/blog/gaming/critical-role-guests-mcm-london-october-2026.html</t>
        </is>
      </c>
      <c r="L30" s="8" t="inlineStr">
        <is>
          <t>游戏、动漫、cosplay 一站式，年轻人浓度高；ExCeL 在东伦敦，QMUL 过去最方便</t>
        </is>
      </c>
      <c r="M30" s="8" t="inlineStr">
        <is>
          <t>The Gaming Corner</t>
        </is>
      </c>
      <c r="N30" s="8" t="inlineStr">
        <is>
          <t>未取图：云端环境出站被拦（WebFetch EGRESS_BLOCKED），需在本地 Claude Code 补</t>
        </is>
      </c>
      <c r="O30" s="8" t="inlineStr">
        <is>
          <t>未完成</t>
        </is>
      </c>
    </row>
    <row r="31" ht="58" customHeight="1">
      <c r="A31" s="5" t="n"/>
      <c r="B31" s="6" t="n"/>
      <c r="C31" s="7" t="n"/>
      <c r="D31" s="5" t="inlineStr">
        <is>
          <t>BFI London Film Festival 第 70 届（最后几天 + 闭幕）</t>
        </is>
      </c>
      <c r="E31" s="5" t="inlineStr">
        <is>
          <t>BFI Southbank, Belvedere Road, London SE1 8XT（闭幕式：Royal Festival Hall, Southbank Centre）</t>
        </is>
      </c>
      <c r="F31" s="5" t="inlineStr">
        <is>
          <t>exact</t>
        </is>
      </c>
      <c r="G31" s="8" t="inlineStr">
        <is>
          <t>7–18 Oct 2026（窗口内为 15–18 Oct；闭幕 18 Oct）</t>
        </is>
      </c>
      <c r="H31" s="8" t="inlineStr">
        <is>
          <t>电影/媒体</t>
        </is>
      </c>
      <c r="I31" s="9" t="inlineStr">
        <is>
          <t>高热度</t>
        </is>
      </c>
      <c r="J31" s="8" t="inlineStr">
        <is>
          <t>第 70 届，英国最重要的电影节之一；闭幕片 The Debut（Jesse Eisenberg）英国首映</t>
        </is>
      </c>
      <c r="K31" s="8" t="inlineStr">
        <is>
          <t>https://whatson.bfi.org.uk/lff/Online/default.asp ; https://en.wikipedia.org/wiki/2026_BFI_London_Film_Festival</t>
        </is>
      </c>
      <c r="L31" s="8" t="inlineStr">
        <is>
          <t>大量首映场，有不少普通票价场次；KCL 就在隔壁。窗口只覆盖最后 4 天，要推得早</t>
        </is>
      </c>
      <c r="M31" s="8" t="inlineStr">
        <is>
          <t>Reel Talk Club</t>
        </is>
      </c>
      <c r="N31" s="8" t="inlineStr">
        <is>
          <t>未取图：云端环境出站被拦（WebFetch EGRESS_BLOCKED），需在本地 Claude Code 补</t>
        </is>
      </c>
      <c r="O31" s="8" t="inlineStr">
        <is>
          <t>未完成</t>
        </is>
      </c>
    </row>
    <row r="32" ht="58" customHeight="1">
      <c r="A32" s="5" t="n"/>
      <c r="B32" s="6" t="n"/>
      <c r="C32" s="7" t="n"/>
      <c r="D32" s="5" t="inlineStr">
        <is>
          <t>Frieze London &amp; Frieze Masters 2026</t>
        </is>
      </c>
      <c r="E32" s="5" t="inlineStr">
        <is>
          <t>The Regent's Park, London NW1（Frieze London 和 Frieze Masters 两个帐篷都在园内，入口以官网为准）</t>
        </is>
      </c>
      <c r="F32" s="5" t="inlineStr">
        <is>
          <t>venue_only</t>
        </is>
      </c>
      <c r="G32" s="8" t="inlineStr">
        <is>
          <t>15–18 Oct 2026（公众开放；14 Oct 仅限邀请）</t>
        </is>
      </c>
      <c r="H32" s="8" t="inlineStr">
        <is>
          <t>兴趣类(艺术/展览)</t>
        </is>
      </c>
      <c r="I32" s="9" t="inlineStr">
        <is>
          <t>高热度</t>
        </is>
      </c>
      <c r="J32" s="8" t="inlineStr">
        <is>
          <t>国际一线艺术博览会，每年固定在 Regent's Park 举办</t>
        </is>
      </c>
      <c r="K32" s="8" t="inlineStr">
        <is>
          <t>https://www.frieze.com/fairs/frieze-london-frieze-masters/visitor-information ; https://www.royalparks.org.uk/events/frieze-london-frieze-masters</t>
        </is>
      </c>
      <c r="L32" s="8" t="inlineStr">
        <is>
          <t>艺术生必去；⚠️票价偏高，只能网上买、不能再次入场，推之前查一下有没有学生票</t>
        </is>
      </c>
      <c r="M32" s="8" t="inlineStr">
        <is>
          <t>—</t>
        </is>
      </c>
      <c r="N32" s="8" t="inlineStr">
        <is>
          <t>未取图：云端环境出站被拦（WebFetch EGRESS_BLOCKED），需在本地 Claude Code 补</t>
        </is>
      </c>
      <c r="O32" s="8" t="inlineStr">
        <is>
          <t>未完成</t>
        </is>
      </c>
    </row>
    <row r="33" ht="58" customHeight="1">
      <c r="A33" s="5" t="n"/>
      <c r="B33" s="6" t="n"/>
      <c r="C33" s="7" t="n"/>
      <c r="D33" s="5" t="inlineStr">
        <is>
          <t>Alexandra Palace Fireworks &amp; Drone Festival</t>
        </is>
      </c>
      <c r="E33" s="5" t="inlineStr">
        <is>
          <t>Alexandra Palace, Alexandra Palace Way, London N22 7AY</t>
        </is>
      </c>
      <c r="F33" s="5" t="inlineStr">
        <is>
          <t>exact</t>
        </is>
      </c>
      <c r="G33" s="8" t="inlineStr">
        <is>
          <t>7 Nov（周六，20:00 烟花）/ 8 Nov 2026（周日，18:00 烟花）</t>
        </is>
      </c>
      <c r="H33" s="8" t="inlineStr">
        <is>
          <t>年轻人娱乐(烟花/音乐节)</t>
        </is>
      </c>
      <c r="I33" s="9" t="inlineStr">
        <is>
          <t>高热度</t>
        </is>
      </c>
      <c r="J33" s="8" t="inlineStr">
        <is>
          <t>伦敦最大的篝火夜活动之一，年年办；Time Out 有专文；周六由 Eats Everything 做 DJ 压轴</t>
        </is>
      </c>
      <c r="K33" s="8" t="inlineStr">
        <is>
          <t>https://www.alexandrapalace.com/whats-on/fireworks-drone-festival/ ; https://www.timeout.com/london/news/alexandra-palace-fireworks-drone-show-2026-details-revealed-091026</t>
        </is>
      </c>
      <c r="L33" s="8" t="inlineStr">
        <is>
          <t>从 £10.50（早鸟）/ £18 起；周六是成人派对氛围（DJ + 德国啤酒节），适合学生</t>
        </is>
      </c>
      <c r="M33" s="8" t="inlineStr">
        <is>
          <t>—</t>
        </is>
      </c>
      <c r="N33" s="8" t="inlineStr">
        <is>
          <t>未取图：云端环境出站被拦（WebFetch EGRESS_BLOCKED），需在本地 Claude Code 补</t>
        </is>
      </c>
      <c r="O33" s="8" t="inlineStr">
        <is>
          <t>未完成</t>
        </is>
      </c>
    </row>
    <row r="34" ht="58" customHeight="1">
      <c r="A34" s="5" t="n"/>
      <c r="B34" s="6" t="n"/>
      <c r="C34" s="7" t="n"/>
      <c r="D34" s="5" t="inlineStr">
        <is>
          <t>Battersea Park Fireworks 2026</t>
        </is>
      </c>
      <c r="E34" s="5" t="inlineStr">
        <is>
          <t>Battersea Park, London SW11 4NJ</t>
        </is>
      </c>
      <c r="F34" s="5" t="inlineStr">
        <is>
          <t>exact</t>
        </is>
      </c>
      <c r="G34" s="8" t="inlineStr">
        <is>
          <t>7 Nov（周六，20:30 烟花）/ 8 Nov 2026（周日，19:00 烟花）</t>
        </is>
      </c>
      <c r="H34" s="8" t="inlineStr">
        <is>
          <t>年轻人娱乐(烟花/音乐)</t>
        </is>
      </c>
      <c r="I34" s="9" t="inlineStr">
        <is>
          <t>高热度</t>
        </is>
      </c>
      <c r="J34" s="8" t="inlineStr">
        <is>
          <t>Wandsworth Council 主办，年年举办；当地媒体称预计再次售罄；周六 Rudimental DJ set</t>
        </is>
      </c>
      <c r="K34" s="8" t="inlineStr">
        <is>
          <t>https://www.batterseaparkfireworks.com/ ; https://www.london-now.co.uk/news/26529624.battersea-park-fireworks-2026-tickets-sale-week/</t>
        </is>
      </c>
      <c r="L34" s="8" t="inlineStr">
        <is>
          <t>RCA Battersea 校区就在旁边；有 happy hour（游乐设施半价、饮品 £5），学生友好</t>
        </is>
      </c>
      <c r="M34" s="8" t="inlineStr">
        <is>
          <t>St Mary's University, Twickenham</t>
        </is>
      </c>
      <c r="N34" s="8" t="inlineStr">
        <is>
          <t>未取图：云端环境出站被拦（WebFetch EGRESS_BLOCKED），需在本地 Claude Code 补</t>
        </is>
      </c>
      <c r="O34" s="8" t="inlineStr">
        <is>
          <t>未完成</t>
        </is>
      </c>
    </row>
    <row r="35" ht="58" customHeight="1">
      <c r="A35" s="5" t="n"/>
      <c r="B35" s="6" t="n"/>
      <c r="C35" s="7" t="n"/>
      <c r="D35" s="5" t="inlineStr">
        <is>
          <t>Lord Mayor's Show 2026（伦敦金融城市长巡游）</t>
        </is>
      </c>
      <c r="E35" s="5" t="inlineStr">
        <is>
          <t>City of London：Mansion House 出发 → Royal Courts of Justice（Strand）→ 返回，沿途都能看</t>
        </is>
      </c>
      <c r="F35" s="5" t="inlineStr">
        <is>
          <t>venue_only</t>
        </is>
      </c>
      <c r="G35" s="8" t="inlineStr">
        <is>
          <t>14 Nov 2026（周六）11:00–15:30</t>
        </is>
      </c>
      <c r="H35" s="8" t="inlineStr">
        <is>
          <t>本地生活类(城市传统活动)</t>
        </is>
      </c>
      <c r="I35" s="9" t="inlineStr">
        <is>
          <t>高热度</t>
        </is>
      </c>
      <c r="J35" s="8" t="inlineStr">
        <is>
          <t>数百年历史的年度巡游，官方确认 2026 年日期</t>
        </is>
      </c>
      <c r="K35" s="8" t="inlineStr">
        <is>
          <t>https://www.lordmayorsshow.london/ ; https://londonist.com/london/things-to-do/a-guide-to-the-lord-mayor-s-show</t>
        </is>
      </c>
      <c r="L35" s="8" t="inlineStr">
        <is>
          <t>免费、在市中心，留学生能体验很"英国"的传统活动；LSE/KCL 走路就到</t>
        </is>
      </c>
      <c r="M35" s="8" t="inlineStr">
        <is>
          <t>—</t>
        </is>
      </c>
      <c r="N35" s="8" t="inlineStr">
        <is>
          <t>未取图：云端环境出站被拦（WebFetch EGRESS_BLOCKED），需在本地 Claude Code 补</t>
        </is>
      </c>
      <c r="O35" s="8" t="inlineStr">
        <is>
          <t>未完成</t>
        </is>
      </c>
    </row>
    <row r="36" ht="85" customHeight="1">
      <c r="A36" s="5" t="n"/>
      <c r="B36" s="6" t="n"/>
      <c r="C36" s="7" t="n"/>
      <c r="D36" s="5" t="inlineStr">
        <is>
          <t>Skindred 万圣节专场（嘉宾：Alien Ant Farm / Spineshank / Orgy）</t>
        </is>
      </c>
      <c r="E36" s="5" t="inlineStr">
        <is>
          <t>Alexandra Palace, Alexandra Palace Way, London N22 7AY</t>
        </is>
      </c>
      <c r="F36" s="5" t="inlineStr">
        <is>
          <t>exact</t>
        </is>
      </c>
      <c r="G36" s="8" t="inlineStr">
        <is>
          <t>31 Oct 2026（周六）18:30</t>
        </is>
      </c>
      <c r="H36" s="8" t="inlineStr">
        <is>
          <t>年轻人娱乐(Live Music/摇滚)</t>
        </is>
      </c>
      <c r="I36" s="9" t="inlineStr">
        <is>
          <t>高热度</t>
        </is>
      </c>
      <c r="J36" s="8" t="inlineStr">
        <is>
          <t>NME、Kerrang! 专门报道的巡演压轴场；在 See Tickets 正规售票；四支乐队同台</t>
        </is>
      </c>
      <c r="K36" s="8" t="inlineStr">
        <is>
          <t>https://www.seetickets.com/event/skindred-you-got-this-tour/alexandra-palace/3619860 ; https://www.nme.com/news/music/skindred-announce-2026-uk-and-ireland-tour-with-alien-ant-farm-including-halloween-alexandra-palace-gig-3936573</t>
        </is>
      </c>
      <c r="L36" s="8" t="inlineStr">
        <is>
          <t>万圣节夜的 nu-metal 怀旧大场，Ally Pally 场馆有气势</t>
        </is>
      </c>
      <c r="M36" s="8" t="inlineStr">
        <is>
          <t>Live Music Crew</t>
        </is>
      </c>
      <c r="N36" s="8" t="inlineStr">
        <is>
          <t>未取图：云端环境出站被拦（WebFetch EGRESS_BLOCKED），需在本地 Claude Code 补</t>
        </is>
      </c>
      <c r="O36" s="8" t="inlineStr">
        <is>
          <t>未完成</t>
        </is>
      </c>
    </row>
    <row r="37" ht="58" customHeight="1">
      <c r="A37" s="5" t="inlineStr">
        <is>
          <t>University of St Andrews</t>
        </is>
      </c>
      <c r="B37" s="6" t="inlineStr">
        <is>
          <t>待制作：University of St Andrews.png</t>
        </is>
      </c>
      <c r="C37" s="7" t="inlineStr">
        <is>
          <t>🔍 Event Radar (UK) — what's worth doing this month.
This month: ST ANDREWS 👇
🎤 Alan Carr Live, Byre Theatre, St Andrews — big-name comedy right by campus, 20 Oct.
🏎️ Knockhill Live-Action &amp; Fireworks, Dunfermline — stunt driving + a big fireworks finale, 7 Nov.
🎤 Rich Hall, Byre Theatre, St Andrews — a Friday night of stand-up, 23 Oct.
🎞️ Byre Thursday Films, St Andrews — easy study-break screenings, 29 Oct / 5 &amp; 12 Nov.</t>
        </is>
      </c>
      <c r="D37" s="5" t="inlineStr">
        <is>
          <t>Alan Carr 单口喜剧巡演 @ Byre Theatre</t>
        </is>
      </c>
      <c r="E37" s="5" t="inlineStr">
        <is>
          <t>The Byre Theatre, Abbey Street, St Andrews KY16 9LA</t>
        </is>
      </c>
      <c r="F37" s="5" t="inlineStr">
        <is>
          <t>exact</t>
        </is>
      </c>
      <c r="G37" s="8" t="inlineStr">
        <is>
          <t>20 Oct 2026（周二）</t>
        </is>
      </c>
      <c r="H37" s="8" t="inlineStr">
        <is>
          <t>年轻人娱乐(喜剧)</t>
        </is>
      </c>
      <c r="I37" s="10" t="inlineStr">
        <is>
          <t>中热度</t>
        </is>
      </c>
      <c r="J37" s="8" t="inlineStr">
        <is>
          <t>知名喜剧人巡演场；Byre 是 St Andrews 大学主办的剧院，官方活动日历有列出；小剧场，座位少</t>
        </is>
      </c>
      <c r="K37" s="8" t="inlineStr">
        <is>
          <t>https://byretheatre.com/upcoming/ ; https://events.st-andrews.ac.uk/event-location/byre/</t>
        </is>
      </c>
      <c r="L37" s="8" t="inlineStr">
        <is>
          <t>在小镇能看到一线喜剧人很难得，就在校园边上；座位有限，要早买</t>
        </is>
      </c>
      <c r="M37" s="8" t="inlineStr">
        <is>
          <t>—</t>
        </is>
      </c>
      <c r="N37" s="8" t="inlineStr">
        <is>
          <t>未取图：云端环境出站被拦（WebFetch EGRESS_BLOCKED），需在本地 Claude Code 补</t>
        </is>
      </c>
      <c r="O37" s="8" t="inlineStr">
        <is>
          <t>未完成</t>
        </is>
      </c>
    </row>
    <row r="38" ht="71.5" customHeight="1">
      <c r="A38" s="5" t="n"/>
      <c r="B38" s="6" t="n"/>
      <c r="C38" s="7" t="n"/>
      <c r="D38" s="5" t="inlineStr">
        <is>
          <t>Knockhill Live-Action &amp; Fireworks Spectacular（赛车表演 + 篝火烟花）</t>
        </is>
      </c>
      <c r="E38" s="5" t="inlineStr">
        <is>
          <t>Knockhill Racing Circuit, Dunfermline, Fife KY12 9TF</t>
        </is>
      </c>
      <c r="F38" s="5" t="inlineStr">
        <is>
          <t>exact</t>
        </is>
      </c>
      <c r="G38" s="8" t="inlineStr">
        <is>
          <t>7 Nov 2026（周六）13:00 开门，14:00 赛道表演，约 17:30 放烟花</t>
        </is>
      </c>
      <c r="H38" s="8" t="inlineStr">
        <is>
          <t>年轻人娱乐(烟花/赛车) + 一日游</t>
        </is>
      </c>
      <c r="I38" s="10" t="inlineStr">
        <is>
          <t>中热度</t>
        </is>
      </c>
      <c r="J38" s="8" t="inlineStr">
        <is>
          <t>苏格兰国家赛车场官方主办，年年举办；烟花由 Edinburgh 21CC Fireworks 制作；What's On Fife 收录</t>
        </is>
      </c>
      <c r="K38" s="8" t="inlineStr">
        <is>
          <t>https://www.knockhill.com/events/fixture-Live-Action-amp-Fireworks-Spectacular-id917 ; https://www.whatsonfife.co.uk/event/078801-live-action-and-fireworks-spectacular-at-knockhill</t>
        </is>
      </c>
      <c r="L38" s="8" t="inlineStr">
        <is>
          <t>赛车漂移表演 + 烟花，很特别；离 Stirling 约 35 公里、离 St Andrews 约 50 公里，适合组团开车去</t>
        </is>
      </c>
      <c r="M38" s="8" t="inlineStr">
        <is>
          <t>Day Trip Buddies；University of Stirling</t>
        </is>
      </c>
      <c r="N38" s="8" t="inlineStr">
        <is>
          <t>未取图：云端环境出站被拦（WebFetch EGRESS_BLOCKED），需在本地 Claude Code 补</t>
        </is>
      </c>
      <c r="O38" s="8" t="inlineStr">
        <is>
          <t>未完成</t>
        </is>
      </c>
    </row>
    <row r="39" ht="58" customHeight="1">
      <c r="A39" s="5" t="n"/>
      <c r="B39" s="6" t="n"/>
      <c r="C39" s="7" t="n"/>
      <c r="D39" s="5" t="inlineStr">
        <is>
          <t>Rich Hall 单口喜剧 @ Byre Theatre</t>
        </is>
      </c>
      <c r="E39" s="5" t="inlineStr">
        <is>
          <t>The Byre Theatre, Abbey Street, St Andrews KY16 9LA</t>
        </is>
      </c>
      <c r="F39" s="5" t="inlineStr">
        <is>
          <t>exact</t>
        </is>
      </c>
      <c r="G39" s="8" t="inlineStr">
        <is>
          <t>23 Oct 2026（周五）</t>
        </is>
      </c>
      <c r="H39" s="8" t="inlineStr">
        <is>
          <t>年轻人娱乐(喜剧)</t>
        </is>
      </c>
      <c r="I39" s="11" t="inlineStr">
        <is>
          <t>潜在价值</t>
        </is>
      </c>
      <c r="J39" s="8" t="inlineStr">
        <is>
          <t>Byre Theatre 官方节目单有列出；没有售票数据</t>
        </is>
      </c>
      <c r="K39" s="8" t="inlineStr">
        <is>
          <t>https://byretheatre.com/upcoming/</t>
        </is>
      </c>
      <c r="L39" s="8" t="inlineStr">
        <is>
          <t>周五晚上的喜剧场，就在校园边上</t>
        </is>
      </c>
      <c r="M39" s="8" t="inlineStr">
        <is>
          <t>—</t>
        </is>
      </c>
      <c r="N39" s="8" t="inlineStr">
        <is>
          <t>未取图：云端环境出站被拦（WebFetch EGRESS_BLOCKED），需在本地 Claude Code 补</t>
        </is>
      </c>
      <c r="O39" s="8" t="inlineStr">
        <is>
          <t>未完成</t>
        </is>
      </c>
    </row>
    <row r="40" ht="58" customHeight="1">
      <c r="A40" s="5" t="n"/>
      <c r="B40" s="6" t="n"/>
      <c r="C40" s="7" t="n"/>
      <c r="D40" s="5" t="inlineStr">
        <is>
          <t>Byre Theatre 周四电影放映</t>
        </is>
      </c>
      <c r="E40" s="5" t="inlineStr">
        <is>
          <t>The Byre Theatre, Abbey Street, St Andrews KY16 9LA</t>
        </is>
      </c>
      <c r="F40" s="5" t="inlineStr">
        <is>
          <t>exact</t>
        </is>
      </c>
      <c r="G40" s="8" t="inlineStr">
        <is>
          <t>29 Oct / 5 Nov / 12 Nov 2026（都是周四）</t>
        </is>
      </c>
      <c r="H40" s="8" t="inlineStr">
        <is>
          <t>电影/媒体</t>
        </is>
      </c>
      <c r="I40" s="11" t="inlineStr">
        <is>
          <t>潜在价值</t>
        </is>
      </c>
      <c r="J40" s="8" t="inlineStr">
        <is>
          <t>大学剧院固定的放映场，官方节目单有列出</t>
        </is>
      </c>
      <c r="K40" s="8" t="inlineStr">
        <is>
          <t>https://byretheatre.com/upcoming/film/</t>
        </is>
      </c>
      <c r="L40" s="8" t="inlineStr">
        <is>
          <t>便宜又方便的学习间隙放松，片单看官网</t>
        </is>
      </c>
      <c r="M40" s="8" t="inlineStr">
        <is>
          <t>—</t>
        </is>
      </c>
      <c r="N40" s="8" t="inlineStr">
        <is>
          <t>未取图：云端环境出站被拦（WebFetch EGRESS_BLOCKED），需在本地 Claude Code 补</t>
        </is>
      </c>
      <c r="O40" s="8" t="inlineStr">
        <is>
          <t>未完成</t>
        </is>
      </c>
    </row>
    <row r="41" ht="71.5" customHeight="1">
      <c r="A41" s="5" t="inlineStr">
        <is>
          <t>Glasgow City College / Glasgow Caledonian University / University of Strathclyde</t>
        </is>
      </c>
      <c r="B41" s="6" t="inlineStr">
        <is>
          <t>待制作：Glasgow City College.png</t>
        </is>
      </c>
      <c r="C41" s="7" t="inlineStr">
        <is>
          <t>🔍 Event Radar (UK) — what's worth doing this month.
This month: GLASGOW NIGHTS 👇
🧟 GlasGLOW: Zombie Zoo, Glasgow Botanic Gardens — Glasgow's biggest Halloween light trail, late Oct–1 Nov.
🤘 Core. Festival, Glasgow — a heavy-music weekend with Pig Destroyer, Eyehategod &amp; more, 13–15 Nov.
🎸 Skindred, Barrowland Ballroom, Glasgow — the "You Got This" tour hits a legendary venue, 13 Nov.
🎸 Pop Mutations x Tiny Changes, Glasgow — an indie weekender across four grassroots venues, 13–14 Nov.</t>
        </is>
      </c>
      <c r="D41" s="5" t="inlineStr">
        <is>
          <t>itison GlasGLOW 2026：Zombie Zoo 万圣节灯光夜游</t>
        </is>
      </c>
      <c r="E41" s="5" t="inlineStr">
        <is>
          <t>Glasgow Botanic Gardens, 730 Great Western Road, Glasgow G12 0UE</t>
        </is>
      </c>
      <c r="F41" s="5" t="inlineStr">
        <is>
          <t>exact</t>
        </is>
      </c>
      <c r="G41" s="8" t="inlineStr">
        <is>
          <t>⚠️起始日两种说法：16 Oct 或 24 Oct 开始，1–2 Nov 结束（24 Oct–1 Nov 两种说法都覆盖）</t>
        </is>
      </c>
      <c r="H41" s="8" t="inlineStr">
        <is>
          <t>年轻人娱乐(沉浸式/万圣节)</t>
        </is>
      </c>
      <c r="I41" s="9" t="inlineStr">
        <is>
          <t>高热度</t>
        </is>
      </c>
      <c r="J41" s="8" t="inlineStr">
        <is>
          <t>第 8 年举办；自称英国最大的万圣节活动；往年曾因需求大加售数千张票（Scottish Daily Express 报道）</t>
        </is>
      </c>
      <c r="K41" s="8" t="inlineStr">
        <is>
          <t>https://www.itison.com/glasglow ; https://www.glasgowworld.com/news/glasglow-botanic-gardens-dates-5290284 ; https://www.scottishdailyexpress.co.uk/news/scottish-news/glasglow-botanic-gardens-thousands-extra-30877210</t>
        </is>
      </c>
      <c r="L41" s="8" t="inlineStr">
        <is>
          <t>格拉斯哥万圣节季最火的项目，60 分钟沉浸式僵尸主题路线；要分时段买票，热门时段会卖完</t>
        </is>
      </c>
      <c r="M41" s="8" t="inlineStr">
        <is>
          <t>University of West of Scotland</t>
        </is>
      </c>
      <c r="N41" s="8" t="inlineStr">
        <is>
          <t>未取图：云端环境出站被拦（WebFetch EGRESS_BLOCKED），需在本地 Claude Code 补</t>
        </is>
      </c>
      <c r="O41" s="8" t="inlineStr">
        <is>
          <t>未完成</t>
        </is>
      </c>
    </row>
    <row r="42" ht="71.5" customHeight="1">
      <c r="A42" s="5" t="n"/>
      <c r="B42" s="6" t="n"/>
      <c r="C42" s="7" t="n"/>
      <c r="D42" s="5" t="inlineStr">
        <is>
          <t>Core. 重型音乐节（Pig Destroyer / Eyehategod / Wormrot / Raging Speedhorn 等）</t>
        </is>
      </c>
      <c r="E42" s="5" t="inlineStr">
        <is>
          <t>Glasgow 多个场地：The Art School（20 Scott Street）、Nice N Sleazy（421 Sauchiehall Street）、Garnethill Multicultural Centre、Woodside Hall（11/15 Pig Destroyer 场）</t>
        </is>
      </c>
      <c r="F42" s="5" t="inlineStr">
        <is>
          <t>venue_only</t>
        </is>
      </c>
      <c r="G42" s="8" t="inlineStr">
        <is>
          <t>13–15 Nov 2026</t>
        </is>
      </c>
      <c r="H42" s="8" t="inlineStr">
        <is>
          <t>年轻人娱乐(Live Music/金属)</t>
        </is>
      </c>
      <c r="I42" s="10" t="inlineStr">
        <is>
          <t>中热度</t>
        </is>
      </c>
      <c r="J42" s="8" t="inlineStr">
        <is>
          <t>What's On Glasgow 收录，号称"苏格兰最新的重型音乐节"，今年第二届；阵容里有 Pig Destroyer、Eyehategod 等国际乐队</t>
        </is>
      </c>
      <c r="K42" s="8" t="inlineStr">
        <is>
          <t>https://www.whatsonglasgow.co.uk/event/118210-core./ ; https://corepresents.seetickets.com/search/all</t>
        </is>
      </c>
      <c r="L42" s="8" t="inlineStr">
        <is>
          <t>金属、硬核爱好者的周末；多个场馆可以串场</t>
        </is>
      </c>
      <c r="M42" s="8" t="inlineStr">
        <is>
          <t>Live Music Crew</t>
        </is>
      </c>
      <c r="N42" s="8" t="inlineStr">
        <is>
          <t>未取图：云端环境出站被拦（WebFetch EGRESS_BLOCKED），需在本地 Claude Code 补</t>
        </is>
      </c>
      <c r="O42" s="8" t="inlineStr">
        <is>
          <t>未完成</t>
        </is>
      </c>
    </row>
    <row r="43" ht="71.5" customHeight="1">
      <c r="A43" s="5" t="n"/>
      <c r="B43" s="6" t="n"/>
      <c r="C43" s="7" t="n"/>
      <c r="D43" s="5" t="inlineStr">
        <is>
          <t>Skindred "You Got This" 巡演 格拉斯哥站</t>
        </is>
      </c>
      <c r="E43" s="5" t="inlineStr">
        <is>
          <t>Barrowland Ballroom, 244 Gallowgate, Glasgow G4 0TT</t>
        </is>
      </c>
      <c r="F43" s="5" t="inlineStr">
        <is>
          <t>exact</t>
        </is>
      </c>
      <c r="G43" s="8" t="inlineStr">
        <is>
          <t>13 Nov 2026（周五）19:00 开门</t>
        </is>
      </c>
      <c r="H43" s="8" t="inlineStr">
        <is>
          <t>年轻人娱乐(Live Music/摇滚)</t>
        </is>
      </c>
      <c r="I43" s="10" t="inlineStr">
        <is>
          <t>中热度</t>
        </is>
      </c>
      <c r="J43" s="8" t="inlineStr">
        <is>
          <t>全英巡演的格拉斯哥站，Visit Glasgow 有收录；和 Core. 音乐节同一个周末，但不属于 Core. 阵容</t>
        </is>
      </c>
      <c r="K43" s="8" t="inlineStr">
        <is>
          <t>https://www.visitglasgow.com/events/skindred-13112026-139289 ; https://www.kerrang.com/skindred-2026-uk-ireland-headline-tour-london-alexandra-palace-alien-ant-farm-spineshank-nu-metal</t>
        </is>
      </c>
      <c r="L43" s="8" t="inlineStr">
        <is>
          <t>Barrowland 是格拉斯哥的传奇场馆；14 岁以上可入场</t>
        </is>
      </c>
      <c r="M43" s="8" t="inlineStr">
        <is>
          <t>Live Music Crew</t>
        </is>
      </c>
      <c r="N43" s="8" t="inlineStr">
        <is>
          <t>未取图：云端环境出站被拦（WebFetch EGRESS_BLOCKED），需在本地 Claude Code 补</t>
        </is>
      </c>
      <c r="O43" s="8" t="inlineStr">
        <is>
          <t>未完成</t>
        </is>
      </c>
    </row>
    <row r="44" ht="58" customHeight="1">
      <c r="A44" s="5" t="n"/>
      <c r="B44" s="6" t="n"/>
      <c r="C44" s="7" t="n"/>
      <c r="D44" s="5" t="inlineStr">
        <is>
          <t>Pop Mutations x Tiny Changes 小型音乐周末</t>
        </is>
      </c>
      <c r="E44" s="5" t="inlineStr">
        <is>
          <t>Glasgow 4 家场馆：The Old Hairdressers（Renfield Lane）、Stereo（Renfield Lane）、Mono（King's Court）、The Glad Café（Pollokshaws Road）</t>
        </is>
      </c>
      <c r="F44" s="5" t="inlineStr">
        <is>
          <t>venue_only</t>
        </is>
      </c>
      <c r="G44" s="8" t="inlineStr">
        <is>
          <t>13–14 Nov 2026</t>
        </is>
      </c>
      <c r="H44" s="8" t="inlineStr">
        <is>
          <t>年轻人娱乐(Live Music/独立音乐)</t>
        </is>
      </c>
      <c r="I44" s="10" t="inlineStr">
        <is>
          <t>中热度</t>
        </is>
      </c>
      <c r="J44" s="8" t="inlineStr">
        <is>
          <t>Clash 杂志、VisitScotland 报道；阵容有 Kathryn Joseph、Rozi Plain、The Pastels、Billy Nomates；和心理健康慈善机构 Tiny Changes 合办</t>
        </is>
      </c>
      <c r="K44" s="8" t="inlineStr">
        <is>
          <t>https://www.clashmusic.com/live/pop-mutations-x-tiny-changes-confirm-intimate-glasgow-weekender ; https://www.popmutations.com/events/pop-mutations-x-tiny-changes</t>
        </is>
      </c>
      <c r="L44" s="8" t="inlineStr">
        <is>
          <t>独立、小众音乐爱好者的首选，都在市中心小场馆，氛围好，票价通常不高</t>
        </is>
      </c>
      <c r="M44" s="8" t="inlineStr">
        <is>
          <t>Live Music Crew</t>
        </is>
      </c>
      <c r="N44" s="8" t="inlineStr">
        <is>
          <t>未取图：云端环境出站被拦（WebFetch EGRESS_BLOCKED），需在本地 Claude Code 补</t>
        </is>
      </c>
      <c r="O44" s="8" t="inlineStr">
        <is>
          <t>未完成</t>
        </is>
      </c>
    </row>
    <row r="45" ht="71.5" customHeight="1">
      <c r="A45" s="5" t="inlineStr">
        <is>
          <t>University of West of Scotland</t>
        </is>
      </c>
      <c r="B45" s="6" t="inlineStr">
        <is>
          <t>待制作：University of West of Scotland.png</t>
        </is>
      </c>
      <c r="C45" s="7" t="inlineStr">
        <is>
          <t>🔍 Event Radar (UK) — what's worth doing this month.
This month: PAISLEY &amp; GLASGOW 👇
🧟 GlasGLOW: Zombie Zoo, Glasgow Botanic Gardens — Glasgow's biggest Halloween light trail, late Oct–1 Nov.
🎃 Paisley Halloween Festival, Paisley — a free Haunted House parade &amp; night market, 23–24 Oct.</t>
        </is>
      </c>
      <c r="D45" s="5" t="inlineStr">
        <is>
          <t>itison GlasGLOW 2026：Zombie Zoo 万圣节灯光夜游</t>
        </is>
      </c>
      <c r="E45" s="5" t="inlineStr">
        <is>
          <t>Glasgow Botanic Gardens, 730 Great Western Road, Glasgow G12 0UE</t>
        </is>
      </c>
      <c r="F45" s="5" t="inlineStr">
        <is>
          <t>exact</t>
        </is>
      </c>
      <c r="G45" s="8" t="inlineStr">
        <is>
          <t>⚠️起始日两种说法：16 Oct 或 24 Oct 开始，1–2 Nov 结束（24 Oct–1 Nov 两种说法都覆盖）</t>
        </is>
      </c>
      <c r="H45" s="8" t="inlineStr">
        <is>
          <t>年轻人娱乐(沉浸式/万圣节)</t>
        </is>
      </c>
      <c r="I45" s="9" t="inlineStr">
        <is>
          <t>高热度</t>
        </is>
      </c>
      <c r="J45" s="8" t="inlineStr">
        <is>
          <t>第 8 年举办；自称英国最大的万圣节活动；往年曾因需求大加售数千张票（Scottish Daily Express 报道）</t>
        </is>
      </c>
      <c r="K45" s="8" t="inlineStr">
        <is>
          <t>https://www.itison.com/glasglow ; https://www.glasgowworld.com/news/glasglow-botanic-gardens-dates-5290284 ; https://www.scottishdailyexpress.co.uk/news/scottish-news/glasglow-botanic-gardens-thousands-extra-30877210</t>
        </is>
      </c>
      <c r="L45" s="8" t="inlineStr">
        <is>
          <t>格拉斯哥万圣节季最火的项目，60 分钟沉浸式僵尸主题路线；要分时段买票，热门时段会卖完</t>
        </is>
      </c>
      <c r="M45" s="8" t="inlineStr">
        <is>
          <t>Glasgow City College / Glasgow Caledonian University / University of Strathclyde</t>
        </is>
      </c>
      <c r="N45" s="8" t="inlineStr">
        <is>
          <t>未取图：云端环境出站被拦（WebFetch EGRESS_BLOCKED），需在本地 Claude Code 补</t>
        </is>
      </c>
      <c r="O45" s="8" t="inlineStr">
        <is>
          <t>未完成</t>
        </is>
      </c>
    </row>
    <row r="46" ht="71.5" customHeight="1">
      <c r="A46" s="5" t="n"/>
      <c r="B46" s="6" t="n"/>
      <c r="C46" s="7" t="n"/>
      <c r="D46" s="5" t="inlineStr">
        <is>
          <t>Paisley Halloween Festival 2026（主题：Haunted House）</t>
        </is>
      </c>
      <c r="E46" s="5" t="inlineStr">
        <is>
          <t>Paisley town centre：游行走 Smithhills St → Gauze St → Mill St → Bridge St → Cotton St → St Mirren Brae → Causeyside St → Orchard St；街头表演在 County Square，舞台在 Bridge Street 停车场</t>
        </is>
      </c>
      <c r="F46" s="5" t="inlineStr">
        <is>
          <t>venue_only</t>
        </is>
      </c>
      <c r="G46" s="8" t="inlineStr">
        <is>
          <t>23 Oct（周五 16:00 起）– 24 Oct 2026（周六 14:00 起），每晚 19:00 游行</t>
        </is>
      </c>
      <c r="H46" s="8" t="inlineStr">
        <is>
          <t>本地生活类(万圣节节庆)</t>
        </is>
      </c>
      <c r="I46" s="9" t="inlineStr">
        <is>
          <t>高热度</t>
        </is>
      </c>
      <c r="J46" s="8" t="inlineStr">
        <is>
          <t>Renfrewshire 市议会 2026 年官方新闻确认；苏格兰最大的万圣节节庆之一，年年举办；免费</t>
        </is>
      </c>
      <c r="K46" s="8" t="inlineStr">
        <is>
          <t>https://www.renfrewshire.gov.uk/news/2026/paisley-halloween-festival-return-next-month ; https://paisley.is/featured_event/halloween/</t>
        </is>
      </c>
      <c r="L46" s="8" t="inlineStr">
        <is>
          <t>免费，UWS Paisley 校区就在镇中心；有灯光游行和夜市</t>
        </is>
      </c>
      <c r="M46" s="8" t="inlineStr">
        <is>
          <t>—</t>
        </is>
      </c>
      <c r="N46" s="8" t="inlineStr">
        <is>
          <t>未取图：云端环境出站被拦（WebFetch EGRESS_BLOCKED），需在本地 Claude Code 补</t>
        </is>
      </c>
      <c r="O46" s="8" t="inlineStr">
        <is>
          <t>未完成</t>
        </is>
      </c>
    </row>
    <row r="47" ht="58" customHeight="1">
      <c r="A47" s="5" t="inlineStr">
        <is>
          <t>Heriot-Watt University / University of Edinburgh Freshers 2026</t>
        </is>
      </c>
      <c r="B47" s="6" t="inlineStr">
        <is>
          <t>待制作：Heriot-Watt University.png</t>
        </is>
      </c>
      <c r="C47" s="7" t="inlineStr">
        <is>
          <t>🔍 Event Radar (UK) — what's worth doing this month.
This month: EDINBURGH 👇
🎄 Edinburgh's Christmas, Princes Street Gardens — opening weekend of the markets, free entry, from 14 Nov.
📖 Scottish International Storytelling Festival, Edinburgh — tales of "Bird &amp; Beast" on the Royal Mile, 21–31 Oct.
🎞️ Edinburgh Short Film Festival, Edinburgh — bite-size screenings for film lovers, 6–22 Nov.</t>
        </is>
      </c>
      <c r="D47" s="5" t="inlineStr">
        <is>
          <t>Edinburgh's Christmas 2026（开幕）</t>
        </is>
      </c>
      <c r="E47" s="5" t="inlineStr">
        <is>
          <t>East &amp; West Princes Street Gardens / George Street, Edinburgh</t>
        </is>
      </c>
      <c r="F47" s="5" t="inlineStr">
        <is>
          <t>venue_only</t>
        </is>
      </c>
      <c r="G47" s="8" t="inlineStr">
        <is>
          <t>14 Nov 2026 – 3 Jan 2027（窗口内只有 14–15 Nov 开幕周末）</t>
        </is>
      </c>
      <c r="H47" s="8" t="inlineStr">
        <is>
          <t>本地生活类(集市/节庆)</t>
        </is>
      </c>
      <c r="I47" s="9" t="inlineStr">
        <is>
          <t>高热度</t>
        </is>
      </c>
      <c r="J47" s="8" t="inlineStr">
        <is>
          <t>爱丁堡官方冬季节庆，每年举办；免费入场、不用买票</t>
        </is>
      </c>
      <c r="K47" s="8" t="inlineStr">
        <is>
          <t>https://edinburgh.org/festivals/edinburghs-christmas/ ; https://edwinterfest.com/edinburgh-christmas/whats-on/traditional-christmas-markets</t>
        </is>
      </c>
      <c r="L47" s="8" t="inlineStr">
        <is>
          <t>开幕周末可以去；市集免费逛，每天 10:00–22:00</t>
        </is>
      </c>
      <c r="M47" s="8" t="inlineStr">
        <is>
          <t>—</t>
        </is>
      </c>
      <c r="N47" s="8" t="inlineStr">
        <is>
          <t>未取图：云端环境出站被拦（WebFetch EGRESS_BLOCKED），需在本地 Claude Code 补</t>
        </is>
      </c>
      <c r="O47" s="8" t="inlineStr">
        <is>
          <t>未完成</t>
        </is>
      </c>
    </row>
    <row r="48" ht="71.5" customHeight="1">
      <c r="A48" s="5" t="n"/>
      <c r="B48" s="6" t="n"/>
      <c r="C48" s="7" t="n"/>
      <c r="D48" s="5" t="inlineStr">
        <is>
          <t>Scottish International Storytelling Festival 2026（主题：Bird &amp; Beast）</t>
        </is>
      </c>
      <c r="E48" s="5" t="inlineStr">
        <is>
          <t>Scottish Storytelling Centre, 43–45 High Street, Edinburgh EH1 1SR（主场馆 Netherbow Theatre）</t>
        </is>
      </c>
      <c r="F48" s="5" t="inlineStr">
        <is>
          <t>exact</t>
        </is>
      </c>
      <c r="G48" s="8" t="inlineStr">
        <is>
          <t>21–31 Oct 2026</t>
        </is>
      </c>
      <c r="H48" s="8" t="inlineStr">
        <is>
          <t>兴趣类(文学/讲故事)</t>
        </is>
      </c>
      <c r="I48" s="10" t="inlineStr">
        <is>
          <t>中热度</t>
        </is>
      </c>
      <c r="J48" s="8" t="inlineStr">
        <is>
          <t>年年举办的国际讲故事节，Edinburgh Festival City 和 Forever Edinburgh 官方都有收录；合作场地有 Royal Botanic Garden、National Library of Scotland</t>
        </is>
      </c>
      <c r="K48" s="8" t="inlineStr">
        <is>
          <t>https://www.sisf.org.uk/ ; https://www.edinburghfestivalcity.com/festivals/scottish-international-storytelling-festival ; https://theqr.co.uk/2026/09/15/scottish-storytelling-festival-2026-returns-with-bird-beast/</t>
        </is>
      </c>
      <c r="L48" s="8" t="inlineStr">
        <is>
          <t>文学、苏格兰文化爱好者会喜欢；在 Royal Mile 上，很多场次价格不高</t>
        </is>
      </c>
      <c r="M48" s="8" t="inlineStr">
        <is>
          <t>Page Turners Club</t>
        </is>
      </c>
      <c r="N48" s="8" t="inlineStr">
        <is>
          <t>未取图：云端环境出站被拦（WebFetch EGRESS_BLOCKED），需在本地 Claude Code 补</t>
        </is>
      </c>
      <c r="O48" s="8" t="inlineStr">
        <is>
          <t>未完成</t>
        </is>
      </c>
    </row>
    <row r="49" ht="58" customHeight="1">
      <c r="A49" s="5" t="n"/>
      <c r="B49" s="6" t="n"/>
      <c r="C49" s="7" t="n"/>
      <c r="D49" s="5" t="inlineStr">
        <is>
          <t>Edinburgh Short Film Festival（第 16 届）</t>
        </is>
      </c>
      <c r="E49" s="5" t="inlineStr">
        <is>
          <t>Filmhouse, 88 Lothian Road, Edinburgh EH3 9BZ / Summerhall, Edinburgh</t>
        </is>
      </c>
      <c r="F49" s="5" t="inlineStr">
        <is>
          <t>exact</t>
        </is>
      </c>
      <c r="G49" s="8" t="inlineStr">
        <is>
          <t>6–22 Nov 2026（窗口内为 6–15 Nov）</t>
        </is>
      </c>
      <c r="H49" s="8" t="inlineStr">
        <is>
          <t>电影/媒体</t>
        </is>
      </c>
      <c r="I49" s="11" t="inlineStr">
        <is>
          <t>潜在价值</t>
        </is>
      </c>
      <c r="J49" s="8" t="inlineStr">
        <is>
          <t>已办到第 16 届，在 FilmFreeway / Festhome 正规征片；没搜到售票数据</t>
        </is>
      </c>
      <c r="K49" s="8" t="inlineStr">
        <is>
          <t>https://filmfreeway.com/EdinburghShortFilmFestival ; https://www.awn.com/event/edinburgh-short-film-festival-2026</t>
        </is>
      </c>
      <c r="L49" s="8" t="inlineStr">
        <is>
          <t>短片放映门槛低，适合电影爱好者和传媒专业学生；具体场地和场次要看官网</t>
        </is>
      </c>
      <c r="M49" s="8" t="inlineStr">
        <is>
          <t>Reel Talk Club</t>
        </is>
      </c>
      <c r="N49" s="8" t="inlineStr">
        <is>
          <t>未取图：云端环境出站被拦（WebFetch EGRESS_BLOCKED），需在本地 Claude Code 补</t>
        </is>
      </c>
      <c r="O49" s="8" t="inlineStr">
        <is>
          <t>未完成</t>
        </is>
      </c>
    </row>
    <row r="50" ht="71.5" customHeight="1">
      <c r="A50" s="5" t="inlineStr">
        <is>
          <t>University of Stirling</t>
        </is>
      </c>
      <c r="B50" s="6" t="inlineStr">
        <is>
          <t>待制作：University of Stirling.png</t>
        </is>
      </c>
      <c r="C50" s="7" t="inlineStr">
        <is>
          <t>🔍 Event Radar (UK) — what's worth doing this month.
This month: STIRLING 👇
🏎️ Knockhill Live-Action &amp; Fireworks, Dunfermline — stunt driving + a big fireworks finale, 7 Nov.
🔥 Briarlands Bonfire Night, Stirling — a local farm bonfire &amp; fireworks, 7 Nov.
🎭 Witch Hunt (new musical), Macrobert Arts Centre, Stirling — Scottish witch trials on stage, on campus, 17 Oct.</t>
        </is>
      </c>
      <c r="D50" s="5" t="inlineStr">
        <is>
          <t>Knockhill Live-Action &amp; Fireworks Spectacular（赛车表演 + 篝火烟花）</t>
        </is>
      </c>
      <c r="E50" s="5" t="inlineStr">
        <is>
          <t>Knockhill Racing Circuit, Dunfermline, Fife KY12 9TF</t>
        </is>
      </c>
      <c r="F50" s="5" t="inlineStr">
        <is>
          <t>exact</t>
        </is>
      </c>
      <c r="G50" s="8" t="inlineStr">
        <is>
          <t>7 Nov 2026（周六）13:00 开门，14:00 赛道表演，约 17:30 放烟花</t>
        </is>
      </c>
      <c r="H50" s="8" t="inlineStr">
        <is>
          <t>年轻人娱乐(烟花/赛车) + 一日游</t>
        </is>
      </c>
      <c r="I50" s="10" t="inlineStr">
        <is>
          <t>中热度</t>
        </is>
      </c>
      <c r="J50" s="8" t="inlineStr">
        <is>
          <t>苏格兰国家赛车场官方主办，年年举办；烟花由 Edinburgh 21CC Fireworks 制作；What's On Fife 收录</t>
        </is>
      </c>
      <c r="K50" s="8" t="inlineStr">
        <is>
          <t>https://www.knockhill.com/events/fixture-Live-Action-amp-Fireworks-Spectacular-id917 ; https://www.whatsonfife.co.uk/event/078801-live-action-and-fireworks-spectacular-at-knockhill</t>
        </is>
      </c>
      <c r="L50" s="8" t="inlineStr">
        <is>
          <t>赛车漂移表演 + 烟花，很特别；离 Stirling 约 35 公里、离 St Andrews 约 50 公里，适合组团开车去</t>
        </is>
      </c>
      <c r="M50" s="8" t="inlineStr">
        <is>
          <t>Day Trip Buddies；University of St Andrews</t>
        </is>
      </c>
      <c r="N50" s="8" t="inlineStr">
        <is>
          <t>未取图：云端环境出站被拦（WebFetch EGRESS_BLOCKED），需在本地 Claude Code 补</t>
        </is>
      </c>
      <c r="O50" s="8" t="inlineStr">
        <is>
          <t>未完成</t>
        </is>
      </c>
    </row>
    <row r="51" ht="58" customHeight="1">
      <c r="A51" s="5" t="n"/>
      <c r="B51" s="6" t="n"/>
      <c r="C51" s="7" t="n"/>
      <c r="D51" s="5" t="inlineStr">
        <is>
          <t>Briarlands Farm Bonfire Night</t>
        </is>
      </c>
      <c r="E51" s="5" t="inlineStr">
        <is>
          <t>Briarlands Farm, Blairdrummond, Stirling FK9 4UP</t>
        </is>
      </c>
      <c r="F51" s="5" t="inlineStr">
        <is>
          <t>exact</t>
        </is>
      </c>
      <c r="G51" s="8" t="inlineStr">
        <is>
          <t>7 Nov 2026（周六）</t>
        </is>
      </c>
      <c r="H51" s="8" t="inlineStr">
        <is>
          <t>年轻人娱乐(烟花)</t>
        </is>
      </c>
      <c r="I51" s="11" t="inlineStr">
        <is>
          <t>潜在价值</t>
        </is>
      </c>
      <c r="J51" s="8" t="inlineStr">
        <is>
          <t>What's On Stirling 收录，农场年年办的篝火夜；没有售票数据（Facebook 上搜到的"Sat 1 Nov"帖子是 2025 年的）</t>
        </is>
      </c>
      <c r="K51" s="8" t="inlineStr">
        <is>
          <t>https://www.whatsonstirling.co.uk/event/109377-briarlands-farm-bonfire-night/ ; https://briarlandsfarm.co.uk/events/</t>
        </is>
      </c>
      <c r="L51" s="8" t="inlineStr">
        <is>
          <t>Stirling 本地的篝火夜，离校园近</t>
        </is>
      </c>
      <c r="M51" s="8" t="inlineStr">
        <is>
          <t>—</t>
        </is>
      </c>
      <c r="N51" s="8" t="inlineStr">
        <is>
          <t>未取图：云端环境出站被拦（WebFetch EGRESS_BLOCKED），需在本地 Claude Code 补</t>
        </is>
      </c>
      <c r="O51" s="8" t="inlineStr">
        <is>
          <t>未完成</t>
        </is>
      </c>
    </row>
    <row r="52" ht="58" customHeight="1">
      <c r="A52" s="5" t="n"/>
      <c r="B52" s="6" t="n"/>
      <c r="C52" s="7" t="n"/>
      <c r="D52" s="5" t="inlineStr">
        <is>
          <t>Witch Hunt（以苏格兰女巫审判为题材的新音乐剧）</t>
        </is>
      </c>
      <c r="E52" s="5" t="inlineStr">
        <is>
          <t>Macrobert Arts Centre, University of Stirling, Stirling FK9 4LA</t>
        </is>
      </c>
      <c r="F52" s="5" t="inlineStr">
        <is>
          <t>exact</t>
        </is>
      </c>
      <c r="G52" s="8" t="inlineStr">
        <is>
          <t>17 Oct 2026（周六）</t>
        </is>
      </c>
      <c r="H52" s="8" t="inlineStr">
        <is>
          <t>兴趣类(剧场/音乐剧)</t>
        </is>
      </c>
      <c r="I52" s="11" t="inlineStr">
        <is>
          <t>潜在价值</t>
        </is>
      </c>
      <c r="J52" s="8" t="inlineStr">
        <is>
          <t>Macrobert Arts Centre 秋季节目单有列出（在 Stirling 大学校园里）</t>
        </is>
      </c>
      <c r="K52" s="8" t="inlineStr">
        <is>
          <t>https://www.whatsonstirling.co.uk/listings/macrobert-arts-centre/ ; https://www.macrobertartscentre.org/</t>
        </is>
      </c>
      <c r="L52" s="8" t="inlineStr">
        <is>
          <t>就在 Stirling 校园里；万圣节季看苏格兰女巫题材正应景</t>
        </is>
      </c>
      <c r="M52" s="8" t="inlineStr">
        <is>
          <t>—</t>
        </is>
      </c>
      <c r="N52" s="8" t="inlineStr">
        <is>
          <t>未取图：云端环境出站被拦（WebFetch EGRESS_BLOCKED），需在本地 Claude Code 补</t>
        </is>
      </c>
      <c r="O52" s="8" t="inlineStr">
        <is>
          <t>未完成</t>
        </is>
      </c>
    </row>
    <row r="53" ht="71.5" customHeight="1">
      <c r="A53" s="5" t="inlineStr">
        <is>
          <t>BCU Fresher Hub 2026 / Aston Fresher Hub 2026 / SCCB| Birmingham Student Life</t>
        </is>
      </c>
      <c r="B53" s="6" t="inlineStr">
        <is>
          <t>待制作：BCU Fresher Hub 2026.png</t>
        </is>
      </c>
      <c r="C53" s="7" t="inlineStr">
        <is>
          <t>🔍 Event Radar (UK) — what's worth doing this month.
This month: BIRMINGHAM 👇
🎄 Frankfurt Christmas Market, Birmingham — German food &amp; mulled wine by New Street, from 5 Nov.
⛸️ Big Wheel &amp; Ice Rink, Centenary Square, Birmingham — skating and city views, from 5 Nov.
🤘 Skindred, O2 Academy Birmingham — a rock night on Halloween eve, 30 Oct.</t>
        </is>
      </c>
      <c r="D53" s="5" t="inlineStr">
        <is>
          <t>Birmingham's Frankfurt Christmas Market 2026</t>
        </is>
      </c>
      <c r="E53" s="5" t="inlineStr">
        <is>
          <t>Victoria Square &amp; New Street（Corporation Street 至 Bullring 段）, Birmingham city centre</t>
        </is>
      </c>
      <c r="F53" s="5" t="inlineStr">
        <is>
          <t>venue_only</t>
        </is>
      </c>
      <c r="G53" s="8" t="inlineStr">
        <is>
          <t>5 Nov – 24 Dec 2026（窗口内为 5–15 Nov；8 Nov 纪念日星期天 13:00 开）</t>
        </is>
      </c>
      <c r="H53" s="8" t="inlineStr">
        <is>
          <t>本地生活类(集市/美食)</t>
        </is>
      </c>
      <c r="I53" s="9" t="inlineStr">
        <is>
          <t>高热度</t>
        </is>
      </c>
      <c r="J53" s="8" t="inlineStr">
        <is>
          <t>伯明翰市议会官方公布日期；年年举办，号称德国、奥地利以外最大的正宗德式圣诞市集（主办方说法）</t>
        </is>
      </c>
      <c r="K53" s="8" t="inlineStr">
        <is>
          <t>https://www.birmingham.gov.uk/news/article/1841/birminghams_frankfurt_christmas_market_dates_confirmed ; https://thebfcm.co.uk/ ; https://www.centralbid.co.uk/events/birminghams-frankfurt-christmas-market-2026/</t>
        </is>
      </c>
      <c r="L53" s="8" t="inlineStr">
        <is>
          <t>免费入场，就在 New Street 站旁，吃喝逛一站搞定</t>
        </is>
      </c>
      <c r="M53" s="8" t="inlineStr">
        <is>
          <t>Snack Finds &amp; Picks；UK Food Lovers</t>
        </is>
      </c>
      <c r="N53" s="8" t="inlineStr">
        <is>
          <t>未取图：云端环境出站被拦（WebFetch EGRESS_BLOCKED），需在本地 Claude Code 补</t>
        </is>
      </c>
      <c r="O53" s="8" t="inlineStr">
        <is>
          <t>未完成</t>
        </is>
      </c>
    </row>
    <row r="54" ht="58" customHeight="1">
      <c r="A54" s="5" t="n"/>
      <c r="B54" s="6" t="n"/>
      <c r="C54" s="7" t="n"/>
      <c r="D54" s="5" t="inlineStr">
        <is>
          <t>Birmingham Big Wheel &amp; Ice Rink（Centenary Square）</t>
        </is>
      </c>
      <c r="E54" s="5" t="inlineStr">
        <is>
          <t>Centenary Square, Birmingham</t>
        </is>
      </c>
      <c r="F54" s="5" t="inlineStr">
        <is>
          <t>venue_only</t>
        </is>
      </c>
      <c r="G54" s="8" t="inlineStr">
        <is>
          <t>5 Nov 2026 – 3 Jan 2027，每天 10:00–22:00</t>
        </is>
      </c>
      <c r="H54" s="8" t="inlineStr">
        <is>
          <t>年轻人娱乐(滑冰/游乐)</t>
        </is>
      </c>
      <c r="I54" s="10" t="inlineStr">
        <is>
          <t>中热度</t>
        </is>
      </c>
      <c r="J54" s="8" t="inlineStr">
        <is>
          <t>跟圣诞市集同期，市集官方配套项目，年年举办；没有售票数据</t>
        </is>
      </c>
      <c r="K54" s="8" t="inlineStr">
        <is>
          <t>https://www.birmingham-now.co.uk/news/26551457.birmingham-frankfurt-christmas-market-2026---need-know/</t>
        </is>
      </c>
      <c r="L54" s="8" t="inlineStr">
        <is>
          <t>BCU 主校区附近，适合宿舍、群友组团去滑冰</t>
        </is>
      </c>
      <c r="M54" s="8" t="inlineStr">
        <is>
          <t>—</t>
        </is>
      </c>
      <c r="N54" s="8" t="inlineStr">
        <is>
          <t>未取图：云端环境出站被拦（WebFetch EGRESS_BLOCKED），需在本地 Claude Code 补</t>
        </is>
      </c>
      <c r="O54" s="8" t="inlineStr">
        <is>
          <t>未完成</t>
        </is>
      </c>
    </row>
    <row r="55" ht="71.5" customHeight="1">
      <c r="A55" s="5" t="n"/>
      <c r="B55" s="6" t="n"/>
      <c r="C55" s="7" t="n"/>
      <c r="D55" s="5" t="inlineStr">
        <is>
          <t>Skindred "You Got This" 巡演 伯明翰站</t>
        </is>
      </c>
      <c r="E55" s="5" t="inlineStr">
        <is>
          <t>O2 Academy Birmingham, 16–18 Horsefair, Bristol Street, Birmingham B1 1DB</t>
        </is>
      </c>
      <c r="F55" s="5" t="inlineStr">
        <is>
          <t>exact</t>
        </is>
      </c>
      <c r="G55" s="8" t="inlineStr">
        <is>
          <t>30 Oct 2026（周五）</t>
        </is>
      </c>
      <c r="H55" s="8" t="inlineStr">
        <is>
          <t>年轻人娱乐(Live Music/摇滚)</t>
        </is>
      </c>
      <c r="I55" s="10" t="inlineStr">
        <is>
          <t>中热度</t>
        </is>
      </c>
      <c r="J55" s="8" t="inlineStr">
        <is>
          <t>NME、Kerrang! 报道的全英巡演；See Tickets、Live Nation 正规售票；嘉宾 Alien Ant Farm、Spineshank</t>
        </is>
      </c>
      <c r="K55" s="8" t="inlineStr">
        <is>
          <t>https://www.seetickets.com/event/skindred-you-got-this-tour/o2-academy-birmingham/3619857 ; https://www.kerrang.com/skindred-2026-uk-ireland-headline-tour-london-alexandra-palace-alien-ant-farm-spineshank-nu-metal</t>
        </is>
      </c>
      <c r="L55" s="8" t="inlineStr">
        <is>
          <t>万圣节前夜的摇滚场，O2 Academy 就在市中心，BCU 和 SCCB 过去都方便</t>
        </is>
      </c>
      <c r="M55" s="8" t="inlineStr">
        <is>
          <t>Live Music Crew</t>
        </is>
      </c>
      <c r="N55" s="8" t="inlineStr">
        <is>
          <t>未取图：云端环境出站被拦（WebFetch EGRESS_BLOCKED），需在本地 Claude Code 补</t>
        </is>
      </c>
      <c r="O55" s="8" t="inlineStr">
        <is>
          <t>未完成</t>
        </is>
      </c>
    </row>
    <row r="56" ht="60" customHeight="1">
      <c r="A56" s="5" t="inlineStr">
        <is>
          <t>Wolverhampton Freshers Hub 2026 / Harper Adams Campus Life</t>
        </is>
      </c>
      <c r="B56" s="6" t="inlineStr">
        <is>
          <t>待制作：Wolverhampton Freshers Hub 2026.png</t>
        </is>
      </c>
      <c r="C56" s="7" t="inlineStr">
        <is>
          <t>🔍 Event Radar (UK) — what's worth doing this month.
This month: BONFIRE NIGHT 👇
🔥 Weston Park Bonfire Night, Shifnal — a giant bonfire, two fireworks shows and a funfair, 8 Nov.</t>
        </is>
      </c>
      <c r="D56" s="5" t="inlineStr">
        <is>
          <t>Weston Park Bonfire &amp; Fireworks Night 2026</t>
        </is>
      </c>
      <c r="E56" s="5" t="inlineStr">
        <is>
          <t>Weston Park, Weston-under-Lizard, Shifnal TF11 8LE</t>
        </is>
      </c>
      <c r="F56" s="5" t="inlineStr">
        <is>
          <t>exact</t>
        </is>
      </c>
      <c r="G56" s="8" t="inlineStr">
        <is>
          <t>8 Nov 2026（周日）15:00 开门，17:00 点篝火，18:00 和 19:30 两场烟花</t>
        </is>
      </c>
      <c r="H56" s="8" t="inlineStr">
        <is>
          <t>年轻人娱乐(烟花) + 一日游</t>
        </is>
      </c>
      <c r="I56" s="10" t="inlineStr">
        <is>
          <t>中热度</t>
        </is>
      </c>
      <c r="J56" s="8" t="inlineStr">
        <is>
          <t>年年举办的庄园篝火夜，在 See Tickets / Ents24 正规售票，Visit Telford 有收录</t>
        </is>
      </c>
      <c r="K56" s="8" t="inlineStr">
        <is>
          <t>https://weston-park.com/bonfire-fireworks-night/ ; https://www.seetickets.com/event/bonfire-fireworks-night-2026/weston-park/3697208</t>
        </is>
      </c>
      <c r="L56" s="8" t="inlineStr">
        <is>
          <t>离 Harper Adams 和 Wolverhampton 都不远；乡村庄园 + 游乐场 + 两场烟花，适合当一日游</t>
        </is>
      </c>
      <c r="M56" s="8" t="inlineStr">
        <is>
          <t>Day Trip Buddies</t>
        </is>
      </c>
      <c r="N56" s="8" t="inlineStr">
        <is>
          <t>未取图：云端环境出站被拦（WebFetch EGRESS_BLOCKED），需在本地 Claude Code 补</t>
        </is>
      </c>
      <c r="O56" s="8" t="inlineStr">
        <is>
          <t>未完成</t>
        </is>
      </c>
    </row>
    <row r="57" ht="58" customHeight="1">
      <c r="A57" s="5" t="inlineStr">
        <is>
          <t>Sheffield Hallam University / University of Sheffield</t>
        </is>
      </c>
      <c r="B57" s="6" t="inlineStr">
        <is>
          <t>待制作：Sheffield Hallam University.png</t>
        </is>
      </c>
      <c r="C57" s="7" t="inlineStr">
        <is>
          <t>🔍 Event Radar (UK) — what's worth doing this month.
This month: SHEFFIELD 👇
📚 Off the Shelf Festival of Words, Sheffield — talks, readings and screenings, to 25 Oct.
🎆 ArcNight, Don Valley Bowl, Sheffield — Sheffield's big Bonfire Night show, 5 Nov.
🎃 Leadmill Fridays Halloween Special, The Foundry, Sheffield — the classic student night goes spooky (date TBC), Halloween Fri.</t>
        </is>
      </c>
      <c r="D57" s="5" t="inlineStr">
        <is>
          <t>Off the Shelf Festival of Words 2026</t>
        </is>
      </c>
      <c r="E57" s="5" t="inlineStr">
        <is>
          <t>Sheffield 多个场地：Montgomery Theatre（27 Surrey Street）、Lyceum Theatre、Firth Hall（University of Sheffield）、Millennium Gallery 等</t>
        </is>
      </c>
      <c r="F57" s="5" t="inlineStr">
        <is>
          <t>venue_only</t>
        </is>
      </c>
      <c r="G57" s="8" t="inlineStr">
        <is>
          <t>9–25 Oct 2026（窗口内为 15–25 Oct）</t>
        </is>
      </c>
      <c r="H57" s="8" t="inlineStr">
        <is>
          <t>兴趣类(文学/讲座)</t>
        </is>
      </c>
      <c r="I57" s="10" t="inlineStr">
        <is>
          <t>中热度</t>
        </is>
      </c>
      <c r="J57" s="8" t="inlineStr">
        <is>
          <t>谢菲尔德官方旅游网站列为"headline event"；年年举办的大型文学节，有数百场活动</t>
        </is>
      </c>
      <c r="K57" s="8" t="inlineStr">
        <is>
          <t>https://www.welcometosheffield.co.uk/content/events/off-the-shelf-festival-of-words-2026/</t>
        </is>
      </c>
      <c r="L57" s="8" t="inlineStr">
        <is>
          <t>有讲座、朗读、放映，很多场次免费或便宜；由谢菲尔德大学参与主办</t>
        </is>
      </c>
      <c r="M57" s="8" t="inlineStr">
        <is>
          <t>Page Turners Club</t>
        </is>
      </c>
      <c r="N57" s="8" t="inlineStr">
        <is>
          <t>未取图：云端环境出站被拦（WebFetch EGRESS_BLOCKED），需在本地 Claude Code 补</t>
        </is>
      </c>
      <c r="O57" s="8" t="inlineStr">
        <is>
          <t>未完成</t>
        </is>
      </c>
    </row>
    <row r="58" ht="58" customHeight="1">
      <c r="A58" s="5" t="n"/>
      <c r="B58" s="6" t="n"/>
      <c r="C58" s="7" t="n"/>
      <c r="D58" s="5" t="inlineStr">
        <is>
          <t>ArcNight 2026：谢菲尔德篝火夜烟花</t>
        </is>
      </c>
      <c r="E58" s="5" t="inlineStr">
        <is>
          <t>Don Valley Bowl, Coleridge Road, Sheffield S9 2DF</t>
        </is>
      </c>
      <c r="F58" s="5" t="inlineStr">
        <is>
          <t>exact</t>
        </is>
      </c>
      <c r="G58" s="8" t="inlineStr">
        <is>
          <t>5 Nov 2026（周四）16:00–21:00</t>
        </is>
      </c>
      <c r="H58" s="8" t="inlineStr">
        <is>
          <t>年轻人娱乐(烟花)</t>
        </is>
      </c>
      <c r="I58" s="10" t="inlineStr">
        <is>
          <t>中热度</t>
        </is>
      </c>
      <c r="J58" s="8" t="inlineStr">
        <is>
          <t>新办的活动，由 Illuminate the Gardens 团队主办；Exposed Magazine、Yorkshire Live 报道；票价还没公布</t>
        </is>
      </c>
      <c r="K58" s="8" t="inlineStr">
        <is>
          <t>https://arcnight.com/ ; https://www.exposedmagazine.co.uk/whats-new/brand-new-bonfire-night-spectacular-to-bring-sheffield-steel-to-the-sky-at-don-valley/</t>
        </is>
      </c>
      <c r="L58" s="8" t="inlineStr">
        <is>
          <t>谢菲尔德唯一的大型烟花，篝火夜正日子；有电车可以到</t>
        </is>
      </c>
      <c r="M58" s="8" t="inlineStr">
        <is>
          <t>—</t>
        </is>
      </c>
      <c r="N58" s="8" t="inlineStr">
        <is>
          <t>未取图：云端环境出站被拦（WebFetch EGRESS_BLOCKED），需在本地 Claude Code 补</t>
        </is>
      </c>
      <c r="O58" s="8" t="inlineStr">
        <is>
          <t>未完成</t>
        </is>
      </c>
    </row>
    <row r="59" ht="58" customHeight="1">
      <c r="A59" s="5" t="n"/>
      <c r="B59" s="6" t="n"/>
      <c r="C59" s="7" t="n"/>
      <c r="D59" s="5" t="inlineStr">
        <is>
          <t>Leadmill Fridays 万圣节特别场 @ The Foundry</t>
        </is>
      </c>
      <c r="E59" s="5" t="inlineStr">
        <is>
          <t>The Foundry, Sheffield Students' Union, Western Bank, Sheffield S10 2TG</t>
        </is>
      </c>
      <c r="F59" s="5" t="inlineStr">
        <is>
          <t>exact</t>
        </is>
      </c>
      <c r="G59" s="8" t="inlineStr">
        <is>
          <t>⚠️万圣节前的周五（推定 30 Oct 2026），活动页没写年份，待核实</t>
        </is>
      </c>
      <c r="H59" s="8" t="inlineStr">
        <is>
          <t>年轻人娱乐(Club/学生夜)</t>
        </is>
      </c>
      <c r="I59" s="10" t="inlineStr">
        <is>
          <t>中热度</t>
        </is>
      </c>
      <c r="J59" s="8" t="inlineStr">
        <is>
          <t>Leadmill 是谢菲尔德老牌学生夜品牌，主办方说"经常售罄"；在 Skiddle 售票</t>
        </is>
      </c>
      <c r="K59" s="8" t="inlineStr">
        <is>
          <t>https://leadmill.co.uk/event/leadmill-fridays-halloween-special-at-the-foundry/ ; https://www.skiddle.com/whats-on/Sheffield/halloween-events/</t>
        </is>
      </c>
      <c r="L59" s="8" t="inlineStr">
        <is>
          <t>专门办给学生的万圣节夜，就在 UoS 学生会里；日期确认后再推</t>
        </is>
      </c>
      <c r="M59" s="8" t="inlineStr">
        <is>
          <t>—</t>
        </is>
      </c>
      <c r="N59" s="8" t="inlineStr">
        <is>
          <t>未取图：云端环境出站被拦（WebFetch EGRESS_BLOCKED），需在本地 Claude Code 补</t>
        </is>
      </c>
      <c r="O59" s="8" t="inlineStr">
        <is>
          <t>未完成</t>
        </is>
      </c>
    </row>
    <row r="60" ht="71.5" customHeight="1">
      <c r="A60" s="5" t="inlineStr">
        <is>
          <t>St Mary's University, Twickenham</t>
        </is>
      </c>
      <c r="B60" s="6" t="inlineStr">
        <is>
          <t>待制作：St Mary's University, Twickenham.png</t>
        </is>
      </c>
      <c r="C60" s="7" t="inlineStr">
        <is>
          <t>🔍 Event Radar (UK) — what's worth doing this month.
This month: TWICKENHAM &amp; SW LONDON 👇
🎇 Battersea Park Fireworks, London — fireworks plus a Rudimental DJ set, 7–8 Nov.
🏉 England v Australia, Twickenham — Nations Championship rugby, 8 Nov.
🏉 England v Japan, Twickenham — Nations Championship rugby, 14 Nov.
🎆 Richmond Family Fireworks, Richmond — local fireworks &amp; funfair (date TBC), early Nov.</t>
        </is>
      </c>
      <c r="D60" s="5" t="inlineStr">
        <is>
          <t>Battersea Park Fireworks 2026</t>
        </is>
      </c>
      <c r="E60" s="5" t="inlineStr">
        <is>
          <t>Battersea Park, London SW11 4NJ</t>
        </is>
      </c>
      <c r="F60" s="5" t="inlineStr">
        <is>
          <t>exact</t>
        </is>
      </c>
      <c r="G60" s="8" t="inlineStr">
        <is>
          <t>7 Nov（周六，20:30 烟花）/ 8 Nov 2026（周日，19:00 烟花）</t>
        </is>
      </c>
      <c r="H60" s="8" t="inlineStr">
        <is>
          <t>年轻人娱乐(烟花/音乐)</t>
        </is>
      </c>
      <c r="I60" s="9" t="inlineStr">
        <is>
          <t>高热度</t>
        </is>
      </c>
      <c r="J60" s="8" t="inlineStr">
        <is>
          <t>Wandsworth Council 主办，年年举办；当地媒体称预计再次售罄；周六 Rudimental DJ set</t>
        </is>
      </c>
      <c r="K60" s="8" t="inlineStr">
        <is>
          <t>https://www.batterseaparkfireworks.com/ ; https://www.london-now.co.uk/news/26529624.battersea-park-fireworks-2026-tickets-sale-week/</t>
        </is>
      </c>
      <c r="L60" s="8" t="inlineStr">
        <is>
          <t>RCA Battersea 校区就在旁边；有 happy hour（游乐设施半价、饮品 £5），学生友好</t>
        </is>
      </c>
      <c r="M60" s="8" t="inlineStr">
        <is>
          <t>UCL Hub / IC Collective / Royal College of Art / King's College London / London School of Economics / Queen Mary University of London</t>
        </is>
      </c>
      <c r="N60" s="8" t="inlineStr">
        <is>
          <t>未取图：云端环境出站被拦（WebFetch EGRESS_BLOCKED），需在本地 Claude Code 补</t>
        </is>
      </c>
      <c r="O60" s="8" t="inlineStr">
        <is>
          <t>未完成</t>
        </is>
      </c>
    </row>
    <row r="61" ht="58" customHeight="1">
      <c r="A61" s="5" t="n"/>
      <c r="B61" s="6" t="n"/>
      <c r="C61" s="7" t="n"/>
      <c r="D61" s="5" t="inlineStr">
        <is>
          <t>英格兰 vs 澳大利亚（Nations Championship 橄榄球）</t>
        </is>
      </c>
      <c r="E61" s="5" t="inlineStr">
        <is>
          <t>Allianz Stadium Twickenham, 200 Whitton Road, Twickenham TW2 7BA</t>
        </is>
      </c>
      <c r="F61" s="5" t="inlineStr">
        <is>
          <t>exact</t>
        </is>
      </c>
      <c r="G61" s="8" t="inlineStr">
        <is>
          <t>8 Nov 2026（周日）</t>
        </is>
      </c>
      <c r="H61" s="8" t="inlineStr">
        <is>
          <t>运动户外(观赛)</t>
        </is>
      </c>
      <c r="I61" s="9" t="inlineStr">
        <is>
          <t>高热度</t>
        </is>
      </c>
      <c r="J61" s="8" t="inlineStr">
        <is>
          <t>RFU 官方公布的国家队主场赛，是新赛事 Nations Championship 的首届</t>
        </is>
      </c>
      <c r="K61" s="8" t="inlineStr">
        <is>
          <t>https://www.englandrugby.com/follow/news-and-media/england-fixtures-confirmed-inaugural-nations-championship ; https://allianzstadiumtwickenham.com/nations-championship</t>
        </is>
      </c>
      <c r="L61" s="8" t="inlineStr">
        <is>
          <t>St Mary's 是体育强校，球场就在家门口；⚠️国家队比赛票价偏高</t>
        </is>
      </c>
      <c r="M61" s="8" t="inlineStr">
        <is>
          <t>—</t>
        </is>
      </c>
      <c r="N61" s="8" t="inlineStr">
        <is>
          <t>未取图：云端环境出站被拦（WebFetch EGRESS_BLOCKED），需在本地 Claude Code 补</t>
        </is>
      </c>
      <c r="O61" s="8" t="inlineStr">
        <is>
          <t>未完成</t>
        </is>
      </c>
    </row>
    <row r="62" ht="58" customHeight="1">
      <c r="A62" s="5" t="n"/>
      <c r="B62" s="6" t="n"/>
      <c r="C62" s="7" t="n"/>
      <c r="D62" s="5" t="inlineStr">
        <is>
          <t>英格兰 vs 日本（Nations Championship 橄榄球）</t>
        </is>
      </c>
      <c r="E62" s="5" t="inlineStr">
        <is>
          <t>Allianz Stadium Twickenham, 200 Whitton Road, Twickenham TW2 7BA</t>
        </is>
      </c>
      <c r="F62" s="5" t="inlineStr">
        <is>
          <t>exact</t>
        </is>
      </c>
      <c r="G62" s="8" t="inlineStr">
        <is>
          <t>14 Nov 2026（周六）</t>
        </is>
      </c>
      <c r="H62" s="8" t="inlineStr">
        <is>
          <t>运动户外(观赛)</t>
        </is>
      </c>
      <c r="I62" s="9" t="inlineStr">
        <is>
          <t>高热度</t>
        </is>
      </c>
      <c r="J62" s="8" t="inlineStr">
        <is>
          <t>RFU 官方公布的国家队主场赛</t>
        </is>
      </c>
      <c r="K62" s="8" t="inlineStr">
        <is>
          <t>https://www.englandrugby.com/follow/news-and-media/england-fixtures-confirmed-inaugural-nations-championship</t>
        </is>
      </c>
      <c r="L62" s="8" t="inlineStr">
        <is>
          <t>对日本这场的票通常比对新西兰、澳大利亚便宜，更适合学生；⚠️票价还是要看一下</t>
        </is>
      </c>
      <c r="M62" s="8" t="inlineStr">
        <is>
          <t>—</t>
        </is>
      </c>
      <c r="N62" s="8" t="inlineStr">
        <is>
          <t>未取图：云端环境出站被拦（WebFetch EGRESS_BLOCKED），需在本地 Claude Code 补</t>
        </is>
      </c>
      <c r="O62" s="8" t="inlineStr">
        <is>
          <t>未完成</t>
        </is>
      </c>
    </row>
    <row r="63" ht="58" customHeight="1">
      <c r="A63" s="5" t="n"/>
      <c r="B63" s="6" t="n"/>
      <c r="C63" s="7" t="n"/>
      <c r="D63" s="5" t="inlineStr">
        <is>
          <t>Richmond Family Fireworks</t>
        </is>
      </c>
      <c r="E63" s="5" t="inlineStr">
        <is>
          <t>Richmond Athletic Ground, Twickenham Road, Richmond TW9 2SF</t>
        </is>
      </c>
      <c r="F63" s="5" t="inlineStr">
        <is>
          <t>exact</t>
        </is>
      </c>
      <c r="G63" s="8" t="inlineStr">
        <is>
          <t>⚠️待核实：一个来源写 1 Nov，另一个写 5–7 Nov 2026</t>
        </is>
      </c>
      <c r="H63" s="8" t="inlineStr">
        <is>
          <t>年轻人娱乐(烟花)</t>
        </is>
      </c>
      <c r="I63" s="11" t="inlineStr">
        <is>
          <t>潜在价值</t>
        </is>
      </c>
      <c r="J63" s="8" t="inlineStr">
        <is>
          <t>年年举办的本地烟花会（Richmond Athletic Association 主办）；2026 年日期各来源说法不一，所以降级</t>
        </is>
      </c>
      <c r="K63" s="8" t="inlineStr">
        <is>
          <t>https://www.rag-events.co.uk/major-public-events-at-the-rag/richmond-family-fireworks/ ; https://chiswicktoday.co.uk/chiswick-fireworks-bonfire-night/</t>
        </is>
      </c>
      <c r="L63" s="8" t="inlineStr">
        <is>
          <t>离 St Mary's 很近；确认日期之后再推</t>
        </is>
      </c>
      <c r="M63" s="8" t="inlineStr">
        <is>
          <t>—</t>
        </is>
      </c>
      <c r="N63" s="8" t="inlineStr">
        <is>
          <t>未取图：云端环境出站被拦（WebFetch EGRESS_BLOCKED），需在本地 Claude Code 补</t>
        </is>
      </c>
      <c r="O63" s="8" t="inlineStr">
        <is>
          <t>未完成</t>
        </is>
      </c>
    </row>
    <row r="64" ht="71.5" customHeight="1">
      <c r="A64" s="5" t="inlineStr">
        <is>
          <t>University of Lancaster</t>
        </is>
      </c>
      <c r="B64" s="6" t="inlineStr">
        <is>
          <t>待制作：University of Lancaster.png</t>
        </is>
      </c>
      <c r="C64" s="7" t="inlineStr">
        <is>
          <t>🔍 Event Radar (UK) — what's worth doing this month.
This month: LANCASTER 👇
💡 Light Up Lancaster, Lancaster — a free light-art trail across the city, 5–7 Nov.
🏊 Capernwray Lake Swim, Carnforth — a late-season open-water swim (cold-water experience needed), 31 Oct.</t>
        </is>
      </c>
      <c r="D64" s="5" t="inlineStr">
        <is>
          <t>Light Up Lancaster 2026（主题：No Boundaries）</t>
        </is>
      </c>
      <c r="E64" s="5" t="inlineStr">
        <is>
          <t>Lancaster city centre：Market Square、Dalton Square、The Storey Gardens、Lancaster Castle、Quay Meadow 等（完整地图见 lightuplancaster.co.uk）</t>
        </is>
      </c>
      <c r="F64" s="5" t="inlineStr">
        <is>
          <t>venue_only</t>
        </is>
      </c>
      <c r="G64" s="8" t="inlineStr">
        <is>
          <t>5–7 Nov 2026（周四到周六）17:00–22:00</t>
        </is>
      </c>
      <c r="H64" s="8" t="inlineStr">
        <is>
          <t>本地生活类(灯光艺术节)</t>
        </is>
      </c>
      <c r="I64" s="10" t="inlineStr">
        <is>
          <t>中热度</t>
        </is>
      </c>
      <c r="J64" s="8" t="inlineStr">
        <is>
          <t>Light Up the North 联盟成员，年年举办；Lancaster BID、Visit Lancashire、Lancaster Guardian、Beyond Radio 都有报道</t>
        </is>
      </c>
      <c r="K64" s="8" t="inlineStr">
        <is>
          <t>https://www.lightuplancaster.co.uk/ ; https://www.beyond.radio/news/local-news/light-up-lancaster-promises-to-illuminate-city-with-no-boundaries/ ; https://www.facebook.com/lightuplancaster/</t>
        </is>
      </c>
      <c r="L64" s="8" t="inlineStr">
        <is>
          <t>免费的灯光艺术路线，连着三晚，下课后去逛正合适</t>
        </is>
      </c>
      <c r="M64" s="8" t="inlineStr">
        <is>
          <t>—</t>
        </is>
      </c>
      <c r="N64" s="8" t="inlineStr">
        <is>
          <t>未取图：云端环境出站被拦（WebFetch EGRESS_BLOCKED），需在本地 Claude Code 补</t>
        </is>
      </c>
      <c r="O64" s="8" t="inlineStr">
        <is>
          <t>未完成</t>
        </is>
      </c>
    </row>
    <row r="65" ht="58" customHeight="1">
      <c r="A65" s="5" t="n"/>
      <c r="B65" s="6" t="n"/>
      <c r="C65" s="7" t="n"/>
      <c r="D65" s="5" t="inlineStr">
        <is>
          <t>Capernwray 湖泊公开水域游泳（Lake Swim）</t>
        </is>
      </c>
      <c r="E65" s="5" t="inlineStr">
        <is>
          <t>Capernwray Diving Centre, Jackdaw Quarry, Capernwray Road, Over Kellet, Carnforth LA6 1AD</t>
        </is>
      </c>
      <c r="F65" s="5" t="inlineStr">
        <is>
          <t>exact</t>
        </is>
      </c>
      <c r="G65" s="8" t="inlineStr">
        <is>
          <t>31 Oct 2026</t>
        </is>
      </c>
      <c r="H65" s="8" t="inlineStr">
        <is>
          <t>运动户外(游泳)</t>
        </is>
      </c>
      <c r="I65" s="11" t="inlineStr">
        <is>
          <t>潜在价值</t>
        </is>
      </c>
      <c r="J65" s="8" t="inlineStr">
        <is>
          <t>仅见于 Outdoor Swimmer 杂志活动日历；主办方未核实（疑为 T2 Events，他们在该场地办过比赛）；无报名数据</t>
        </is>
      </c>
      <c r="K65" s="8" t="inlineStr">
        <is>
          <t>https://outdoorswimmer.com/events/ ; https://www.t2.events/our-events/capernwray-open-water-swim/</t>
        </is>
      </c>
      <c r="L65" s="8" t="inlineStr">
        <is>
          <t>窗口内极少数的户外游泳活动，10 月底水温很低，只适合有冷水经验的人；离 Lancaster 大学约 10 公里</t>
        </is>
      </c>
      <c r="M65" s="8" t="inlineStr">
        <is>
          <t>Swim Wave Tribe</t>
        </is>
      </c>
      <c r="N65" s="8" t="inlineStr">
        <is>
          <t>未取图：云端环境出站被拦（WebFetch EGRESS_BLOCKED），需在本地 Claude Code 补</t>
        </is>
      </c>
      <c r="O65" s="8" t="inlineStr">
        <is>
          <t>未完成</t>
        </is>
      </c>
    </row>
    <row r="66" ht="73.5" customHeight="1">
      <c r="A66" s="5" t="inlineStr">
        <is>
          <t>University of Chester</t>
        </is>
      </c>
      <c r="B66" s="6" t="inlineStr">
        <is>
          <t>待制作：University of Chester.png</t>
        </is>
      </c>
      <c r="C66" s="7" t="inlineStr">
        <is>
          <t>🔍 Event Radar (UK) — what's worth doing this month.
This month: CHESTER 👇
🎃 Lord Mayor's Spooktacular Fireworks, Chester Racecourse — Halloween fireworks, rides &amp; fire performers, 31 Oct.</t>
        </is>
      </c>
      <c r="D66" s="5" t="inlineStr">
        <is>
          <t>The Lord Mayor's Spooktacular Fireworks（切斯特赛马场万圣节烟花）</t>
        </is>
      </c>
      <c r="E66" s="5" t="inlineStr">
        <is>
          <t>Chester Racecourse, Watergate Square, Chester CH1 2LY</t>
        </is>
      </c>
      <c r="F66" s="5" t="inlineStr">
        <is>
          <t>exact</t>
        </is>
      </c>
      <c r="G66" s="8" t="inlineStr">
        <is>
          <t>31 Oct 2026（周六）</t>
        </is>
      </c>
      <c r="H66" s="8" t="inlineStr">
        <is>
          <t>年轻人娱乐(烟花/万圣节)</t>
        </is>
      </c>
      <c r="I66" s="10" t="inlineStr">
        <is>
          <t>中热度</t>
        </is>
      </c>
      <c r="J66" s="8" t="inlineStr">
        <is>
          <t>赛马场官方主办，年年举办的市长烟花会，今年提前到万圣节并改成万圣节主题（Chester Standard、Chester Online 报道）</t>
        </is>
      </c>
      <c r="K66" s="8" t="inlineStr">
        <is>
          <t>https://www.chester-races.com/whats-on/the-lord-mayors-spooctacular-fireworks/ ; https://chesteronline.co.uk/chester-fireworks-bonfire-night/</t>
        </is>
      </c>
      <c r="L66" s="8" t="inlineStr">
        <is>
          <t>市中心赛马场，有游乐设施、踩高跷、火舞表演；是切斯特窗口期内唯一确认的大活动</t>
        </is>
      </c>
      <c r="M66" s="8" t="inlineStr">
        <is>
          <t>—</t>
        </is>
      </c>
      <c r="N66" s="8" t="inlineStr">
        <is>
          <t>未取图：云端环境出站被拦（WebFetch EGRESS_BLOCKED），需在本地 Claude Code 补</t>
        </is>
      </c>
      <c r="O66" s="8" t="inlineStr">
        <is>
          <t>未完成</t>
        </is>
      </c>
    </row>
    <row r="67" ht="71.5" customHeight="1">
      <c r="A67" s="5" t="inlineStr">
        <is>
          <t>The University of Manchester</t>
        </is>
      </c>
      <c r="B67" s="6" t="inlineStr">
        <is>
          <t>待制作：The University of Manchester.png</t>
        </is>
      </c>
      <c r="C67" s="7" t="inlineStr">
        <is>
          <t>🔍 Event Radar (UK) — what's worth doing this month.
This month: MANCHESTER 👇
🎄 Manchester Christmas Markets, Manchester city centre — the markets are back, free to wander, from 6 Nov.
🎆 Free Council Fireworks, Platt Fields, Fallowfield — lantern parade + fireworks, completely free, 7 Nov.
🎧 The Warehouse Project Halloween: NeXup, Depot Mayfield — house &amp; tech house till 4am (18+), 31 Oct.
🔮 The Craft 30th Anniversary Screening, Salford — an immersive witchy Halloween movie night by Girl Gang, 31 Oct.
🧹 Season of the Witch, Manchester — Girl Gang's craft nights &amp; witchy events, to 22 Nov.
💬 Lonely Girls Club Meet-up, Manchester — a solo-friendly night to make new friends, £8.95, 27 Oct.</t>
        </is>
      </c>
      <c r="D67" s="5" t="inlineStr">
        <is>
          <t>Manchester Christmas Markets 2026</t>
        </is>
      </c>
      <c r="E67" s="5" t="inlineStr">
        <is>
          <t>Albert Square / Cathedral Gardens / Exchange Square 等，Manchester city centre</t>
        </is>
      </c>
      <c r="F67" s="5" t="inlineStr">
        <is>
          <t>venue_only</t>
        </is>
      </c>
      <c r="G67" s="8" t="inlineStr">
        <is>
          <t>6 Nov – 22 Dec 2026（Albert Square、Cathedral Gardens 开到 3 Jan 2027；窗口内为 6–15 Nov）</t>
        </is>
      </c>
      <c r="H67" s="8" t="inlineStr">
        <is>
          <t>本地生活类(集市/美食)</t>
        </is>
      </c>
      <c r="I67" s="9" t="inlineStr">
        <is>
          <t>高热度</t>
        </is>
      </c>
      <c r="J67" s="8" t="inlineStr">
        <is>
          <t>年年举办的全英知名圣诞市集，The Manc 报道了 2026 年开市日期和新增点位</t>
        </is>
      </c>
      <c r="K67" s="8" t="inlineStr">
        <is>
          <t>https://themanc.com/news/manchester-christmas-markets-2026-opening-date-announced-including-new-spots/ ; https://www.visitmanchester.com/whats-on/whats-on-this-christmas-in-manchester/</t>
        </is>
      </c>
      <c r="L67" s="8" t="inlineStr">
        <is>
          <t>免费入场，市中心多个点位，逛吃一条龙</t>
        </is>
      </c>
      <c r="M67" s="8" t="inlineStr">
        <is>
          <t>UK Food Lovers</t>
        </is>
      </c>
      <c r="N67" s="8" t="inlineStr">
        <is>
          <t>未取图：云端环境出站被拦（WebFetch EGRESS_BLOCKED），需在本地 Claude Code 补</t>
        </is>
      </c>
      <c r="O67" s="8" t="inlineStr">
        <is>
          <t>未完成</t>
        </is>
      </c>
    </row>
    <row r="68" ht="58" customHeight="1">
      <c r="A68" s="5" t="n"/>
      <c r="B68" s="6" t="n"/>
      <c r="C68" s="7" t="n"/>
      <c r="D68" s="5" t="inlineStr">
        <is>
          <t>Manchester 市政免费烟花夜（Platt Fields / Heaton Park / Wythenshawe Park）</t>
        </is>
      </c>
      <c r="E68" s="5" t="inlineStr">
        <is>
          <t>Platt Fields Park, Wilmslow Road, Fallowfield, Manchester M14 6LA（另有 Heaton Park、Wythenshawe Park 两个点）</t>
        </is>
      </c>
      <c r="F68" s="5" t="inlineStr">
        <is>
          <t>exact</t>
        </is>
      </c>
      <c r="G68" s="8" t="inlineStr">
        <is>
          <t>7 Nov 2026（周六）17:00 低噪音场，20:00 主场烟花，之前有灯笼游行</t>
        </is>
      </c>
      <c r="H68" s="8" t="inlineStr">
        <is>
          <t>年轻人娱乐(烟花)</t>
        </is>
      </c>
      <c r="I68" s="9" t="inlineStr">
        <is>
          <t>高热度</t>
        </is>
      </c>
      <c r="J68" s="8" t="inlineStr">
        <is>
          <t>Manchester 市议会官方公布：市政烟花 2019 年后首次恢复；三个公园同时办</t>
        </is>
      </c>
      <c r="K68" s="8" t="inlineStr">
        <is>
          <t>https://www.manchester.gov.uk/news-stories/2026/free-fireworks-night-events-to-make-spectacular-return-in-manchester</t>
        </is>
      </c>
      <c r="L68" s="8" t="inlineStr">
        <is>
          <t>完全免费；Platt Fields 就在 Fallowfield 学生区，UoM 学生走路就到</t>
        </is>
      </c>
      <c r="M68" s="8" t="inlineStr">
        <is>
          <t>—</t>
        </is>
      </c>
      <c r="N68" s="8" t="inlineStr">
        <is>
          <t>未取图：云端环境出站被拦（WebFetch EGRESS_BLOCKED），需在本地 Claude Code 补</t>
        </is>
      </c>
      <c r="O68" s="8" t="inlineStr">
        <is>
          <t>未完成</t>
        </is>
      </c>
    </row>
    <row r="69" ht="58" customHeight="1">
      <c r="A69" s="5" t="n"/>
      <c r="B69" s="6" t="n"/>
      <c r="C69" s="7" t="n"/>
      <c r="D69" s="5" t="inlineStr">
        <is>
          <t>The Warehouse Project 万圣节场：NeXup（Luke Dean、Omar+、Locky 等）</t>
        </is>
      </c>
      <c r="E69" s="5" t="inlineStr">
        <is>
          <t>Depot Mayfield, 11 Baring Street, Manchester M1 2PY</t>
        </is>
      </c>
      <c r="F69" s="5" t="inlineStr">
        <is>
          <t>exact</t>
        </is>
      </c>
      <c r="G69" s="8" t="inlineStr">
        <is>
          <t>31 Oct 2026（周六）20:00–04:00</t>
        </is>
      </c>
      <c r="H69" s="8" t="inlineStr">
        <is>
          <t>年轻人娱乐(Club/House)</t>
        </is>
      </c>
      <c r="I69" s="9" t="inlineStr">
        <is>
          <t>高热度</t>
        </is>
      </c>
      <c r="J69" s="8" t="inlineStr">
        <is>
          <t>WHP 是 Manchester 办了 20 年的旗舰俱乐部季，场地可容纳 10,000 人；这场在 Ticketmaster 和官网正规售票</t>
        </is>
      </c>
      <c r="K69" s="8" t="inlineStr">
        <is>
          <t>https://thewarehouseproject.com/calendar/ ; https://www.skiddle.com/news/all/The-Warehouse-Project-2026-everything-you-need-to-know/61707/</t>
        </is>
      </c>
      <c r="L69" s="8" t="inlineStr">
        <is>
          <t>万圣节夜 Manchester 最有代表性的 club 活动；⚠️WHP 票价通常不低，限 18 岁以上</t>
        </is>
      </c>
      <c r="M69" s="8" t="inlineStr">
        <is>
          <t>—</t>
        </is>
      </c>
      <c r="N69" s="8" t="inlineStr">
        <is>
          <t>未取图：云端环境出站被拦（WebFetch EGRESS_BLOCKED），需在本地 Claude Code 补</t>
        </is>
      </c>
      <c r="O69" s="8" t="inlineStr">
        <is>
          <t>未完成</t>
        </is>
      </c>
    </row>
    <row r="70" ht="58" customHeight="1">
      <c r="A70" s="5" t="n"/>
      <c r="B70" s="6" t="n"/>
      <c r="C70" s="7" t="n"/>
      <c r="D70" s="5" t="inlineStr">
        <is>
          <t>Girl Gang MCR：The Craft 30 周年沉浸式放映</t>
        </is>
      </c>
      <c r="E70" s="5" t="inlineStr">
        <is>
          <t>Islington Mill, James Street, Salford M3 5HW</t>
        </is>
      </c>
      <c r="F70" s="5" t="inlineStr">
        <is>
          <t>exact</t>
        </is>
      </c>
      <c r="G70" s="8" t="inlineStr">
        <is>
          <t>31 Oct 2026（周六）18:00–24:00</t>
        </is>
      </c>
      <c r="H70" s="8" t="inlineStr">
        <is>
          <t>电影/媒体 + 社交类(女性)</t>
        </is>
      </c>
      <c r="I70" s="10" t="inlineStr">
        <is>
          <t>中热度</t>
        </is>
      </c>
      <c r="J70" s="8" t="inlineStr">
        <is>
          <t>票务页显示"1/3 Sold"（真实售票信号）；主办方两次获 Film Society of the Year "Best Single Event"</t>
        </is>
      </c>
      <c r="K70" s="8" t="inlineStr">
        <is>
          <t>https://www.tickettailor.com/events/girlgangmcr/2344142 ; https://girlgangmcr.com/previous-projects/immersive-screenings/</t>
        </is>
      </c>
      <c r="L70" s="8" t="inlineStr">
        <is>
          <t>万圣节当晚的女巫主题放映，带 disco 和手工环节，女生结伴去很合适；注意 Girl Gang 受众年龄偏宽（16–80）</t>
        </is>
      </c>
      <c r="M70" s="8" t="inlineStr">
        <is>
          <t>Girls' Corner；Reel Talk Club</t>
        </is>
      </c>
      <c r="N70" s="8" t="inlineStr">
        <is>
          <t>未取图：云端环境出站被拦（WebFetch EGRESS_BLOCKED），需在本地 Claude Code 补</t>
        </is>
      </c>
      <c r="O70" s="8" t="inlineStr">
        <is>
          <t>未完成</t>
        </is>
      </c>
    </row>
    <row r="71" ht="58" customHeight="1">
      <c r="A71" s="5" t="n"/>
      <c r="B71" s="6" t="n"/>
      <c r="C71" s="7" t="n"/>
      <c r="D71" s="5" t="inlineStr">
        <is>
          <t>Girl Gang MCR：Season of the Witch 系列活动</t>
        </is>
      </c>
      <c r="E71" s="5" t="inlineStr">
        <is>
          <t>Manchester 多个场地：Craft &amp; Coven 手工夜在 Cloudwater Taproom；其余场次（含 Pendle 徒步）场地和日期要看 girlgangmcr.com</t>
        </is>
      </c>
      <c r="F71" s="5" t="inlineStr">
        <is>
          <t>venue_only</t>
        </is>
      </c>
      <c r="G71" s="8" t="inlineStr">
        <is>
          <t>22 Sep – 22 Nov 2026（窗口内为 15 Oct – 15 Nov；单场日期见官网）</t>
        </is>
      </c>
      <c r="H71" s="8" t="inlineStr">
        <is>
          <t>社交类(女性) + 兴趣类(手工)</t>
        </is>
      </c>
      <c r="I71" s="11" t="inlineStr">
        <is>
          <t>潜在价值</t>
        </is>
      </c>
      <c r="J71" s="8" t="inlineStr">
        <is>
          <t>Manchester's Finest 收录；系列里有 Craft &amp; Coven 手工夜、Pendle 女巫审判主题徒步等；没有单场售票数据</t>
        </is>
      </c>
      <c r="K71" s="8" t="inlineStr">
        <is>
          <t>https://www.manchestersfinest.com/events/girl-gang-mcr-season-of-the-witch/ ; https://girlgangmcr.com/upcoming-events/</t>
        </is>
      </c>
      <c r="L71" s="8" t="inlineStr">
        <is>
          <t>窗口内有多场可选；Pendle 徒步的具体日期没搜到，推之前要看官网确认单场日期</t>
        </is>
      </c>
      <c r="M71" s="8" t="inlineStr">
        <is>
          <t>Girls' Corner</t>
        </is>
      </c>
      <c r="N71" s="8" t="inlineStr">
        <is>
          <t>未取图：云端环境出站被拦（WebFetch EGRESS_BLOCKED），需在本地 Claude Code 补</t>
        </is>
      </c>
      <c r="O71" s="8" t="inlineStr">
        <is>
          <t>未完成</t>
        </is>
      </c>
    </row>
    <row r="72" ht="58" customHeight="1">
      <c r="A72" s="5" t="n"/>
      <c r="B72" s="6" t="n"/>
      <c r="C72" s="7" t="n"/>
      <c r="D72" s="5" t="inlineStr">
        <is>
          <t>Lonely Girls Club Manchester 活动（10/27 场）</t>
        </is>
      </c>
      <c r="E72" s="5" t="inlineStr">
        <is>
          <t>Manchester（⚠️具体场地报名后才公布，官网没公开）</t>
        </is>
      </c>
      <c r="F72" s="5" t="inlineStr">
        <is>
          <t>city_only</t>
        </is>
      </c>
      <c r="G72" s="8" t="inlineStr">
        <is>
          <t>27 Oct 2026（周二）</t>
        </is>
      </c>
      <c r="H72" s="8" t="inlineStr">
        <is>
          <t>社交类(女性交友)</t>
        </is>
      </c>
      <c r="I72" s="11" t="inlineStr">
        <is>
          <t>潜在价值</t>
        </is>
      </c>
      <c r="J72" s="8" t="inlineStr">
        <is>
          <t>成熟的女性交友组织（有 Wikipedia 词条），London+Manchester 成员约 5.5 万（这是社群规模，不代表到场人数）；这场的具体内容官网写"即将公布"</t>
        </is>
      </c>
      <c r="K72" s="8" t="inlineStr">
        <is>
          <t>https://www.llgc.co.uk/collections/manchester</t>
        </is>
      </c>
      <c r="L72" s="8" t="inlineStr">
        <is>
          <t>票价 £8.95，便宜，专为一个人来交朋友设计；活动内容没公布，推之前再看一眼</t>
        </is>
      </c>
      <c r="M72" s="8" t="inlineStr">
        <is>
          <t>Girls' Corner</t>
        </is>
      </c>
      <c r="N72" s="8" t="inlineStr">
        <is>
          <t>未取图：云端环境出站被拦（WebFetch EGRESS_BLOCKED），需在本地 Claude Code 补</t>
        </is>
      </c>
      <c r="O72" s="8" t="inlineStr">
        <is>
          <t>未完成</t>
        </is>
      </c>
    </row>
    <row r="73" ht="58" customHeight="1">
      <c r="A73" s="5" t="inlineStr">
        <is>
          <t>Newcastle university / Newcastle university 2 / Northumbria university</t>
        </is>
      </c>
      <c r="B73" s="6" t="inlineStr">
        <is>
          <t>待制作：Newcastle university.png</t>
        </is>
      </c>
      <c r="C73" s="7" t="inlineStr">
        <is>
          <t>🔍 Event Radar (UK) — what's worth doing this month.
This month: NEWCASTLE 👇
🎧 Ben Hemsley Halloween Day Rave, Gateshead Stadium — house &amp; trance all day, 2,400+ going (18+), 31 Oct.
👻 Beamish Halloween Evenings, County Durham — "The Un-living Museum of the North", from 28 Oct.
🐎 Bonfire Night at the Races, Newcastle Racecourse — floodlit racing + fireworks, from £9, 6 Nov.
🎤 Reverend and The Makers, Northumbria SU — a big indie gig right on campus, 14 Nov.</t>
        </is>
      </c>
      <c r="D73" s="5" t="inlineStr">
        <is>
          <t>Ben Hemsley 万圣节日场 Rave（with Ewan McVicar）</t>
        </is>
      </c>
      <c r="E73" s="5" t="inlineStr">
        <is>
          <t>Gateshead International Stadium, Neilson Road, Gateshead NE10 0EF</t>
        </is>
      </c>
      <c r="F73" s="5" t="inlineStr">
        <is>
          <t>exact</t>
        </is>
      </c>
      <c r="G73" s="8" t="inlineStr">
        <is>
          <t>31 Oct 2026（周六）13:30–23:00，16:00 后停止入场</t>
        </is>
      </c>
      <c r="H73" s="8" t="inlineStr">
        <is>
          <t>年轻人娱乐(Club/电子)</t>
        </is>
      </c>
      <c r="I73" s="9" t="inlineStr">
        <is>
          <t>高热度</t>
        </is>
      </c>
      <c r="J73" s="8" t="inlineStr">
        <is>
          <t>Skiddle 显示"hot seller"、2,448+ 人标记参加（平台实时数字）；机库场地可容纳 6,000 人</t>
        </is>
      </c>
      <c r="K73" s="8" t="inlineStr">
        <is>
          <t>https://www.skiddle.com/whats-on/Gateshead/Gateshead-Stadium/ ; https://www.skiddle.com/artists/Ben-Hemsley-123570182/</t>
        </is>
      </c>
      <c r="L73" s="8" t="inlineStr">
        <is>
          <t>万圣节当天东北部最大的 house / trance 活动之一；限 18 岁以上；地铁可直达</t>
        </is>
      </c>
      <c r="M73" s="8" t="inlineStr">
        <is>
          <t>Live Music Crew</t>
        </is>
      </c>
      <c r="N73" s="8" t="inlineStr">
        <is>
          <t>未取图：云端环境出站被拦（WebFetch EGRESS_BLOCKED），需在本地 Claude Code 补</t>
        </is>
      </c>
      <c r="O73" s="8" t="inlineStr">
        <is>
          <t>未完成</t>
        </is>
      </c>
    </row>
    <row r="74" ht="58" customHeight="1">
      <c r="A74" s="5" t="n"/>
      <c r="B74" s="6" t="n"/>
      <c r="C74" s="7" t="n"/>
      <c r="D74" s="5" t="inlineStr">
        <is>
          <t>Beamish Halloween Evenings："The Un-living Museum of the North"</t>
        </is>
      </c>
      <c r="E74" s="5" t="inlineStr">
        <is>
          <t>Beamish Museum, Beamish, County Durham DH9 0RG</t>
        </is>
      </c>
      <c r="F74" s="5" t="inlineStr">
        <is>
          <t>exact</t>
        </is>
      </c>
      <c r="G74" s="8" t="inlineStr">
        <is>
          <t>⚠️整季场次说法不一；官网确认有 28 Oct 2026 这一场，其余场次看官网</t>
        </is>
      </c>
      <c r="H74" s="8" t="inlineStr">
        <is>
          <t>年轻人娱乐(沉浸式/万圣节) + 一日游</t>
        </is>
      </c>
      <c r="I74" s="9" t="inlineStr">
        <is>
          <t>高热度</t>
        </is>
      </c>
      <c r="J74" s="8" t="inlineStr">
        <is>
          <t>英国知名露天博物馆的年度万圣节夜场；只能网上提前买票，往年经常售罄</t>
        </is>
      </c>
      <c r="K74" s="8" t="inlineStr">
        <is>
          <t>https://www.beamish.org.uk/events/halloween-evening-28-oct-2026/ ; https://www.beamish.org.uk/halloween-at-beamish/</t>
        </is>
      </c>
      <c r="L74" s="8" t="inlineStr">
        <is>
          <t>在纽卡斯尔和杜伦中间，两边都能去；有吓人路线，也有不吓人的；年卡在夜场不能用</t>
        </is>
      </c>
      <c r="M74" s="8" t="inlineStr">
        <is>
          <t>Durham university</t>
        </is>
      </c>
      <c r="N74" s="8" t="inlineStr">
        <is>
          <t>未取图：云端环境出站被拦（WebFetch EGRESS_BLOCKED），需在本地 Claude Code 补</t>
        </is>
      </c>
      <c r="O74" s="8" t="inlineStr">
        <is>
          <t>未完成</t>
        </is>
      </c>
    </row>
    <row r="75" ht="58" customHeight="1">
      <c r="A75" s="5" t="n"/>
      <c r="B75" s="6" t="n"/>
      <c r="C75" s="7" t="n"/>
      <c r="D75" s="5" t="inlineStr">
        <is>
          <t>Newcastle Racecourse Bonfire Night（夜场赛马 + 烟花）</t>
        </is>
      </c>
      <c r="E75" s="5" t="inlineStr">
        <is>
          <t>Newcastle Racecourse, High Gosforth Park, Newcastle upon Tyne NE3 5HP</t>
        </is>
      </c>
      <c r="F75" s="5" t="inlineStr">
        <is>
          <t>exact</t>
        </is>
      </c>
      <c r="G75" s="8" t="inlineStr">
        <is>
          <t>6 Nov 2026（周五）18:00 开门，约 20:30 放烟花</t>
        </is>
      </c>
      <c r="H75" s="8" t="inlineStr">
        <is>
          <t>年轻人娱乐(烟花/赛马)</t>
        </is>
      </c>
      <c r="I75" s="10" t="inlineStr">
        <is>
          <t>中热度</t>
        </is>
      </c>
      <c r="J75" s="8" t="inlineStr">
        <is>
          <t>赛马场官方年年举办，号称"本地区最大的烟花"（主办方说法）；已开售</t>
        </is>
      </c>
      <c r="K75" s="8" t="inlineStr">
        <is>
          <t>https://www.newcastle-racecourse.co.uk/popular-events/fireworks</t>
        </is>
      </c>
      <c r="L75" s="8" t="inlineStr">
        <is>
          <t>早鸟票成人 £9，很便宜；赛马 + 游乐场 + 烟花，一晚玩全套</t>
        </is>
      </c>
      <c r="M75" s="8" t="inlineStr">
        <is>
          <t>—</t>
        </is>
      </c>
      <c r="N75" s="8" t="inlineStr">
        <is>
          <t>未取图：云端环境出站被拦（WebFetch EGRESS_BLOCKED），需在本地 Claude Code 补</t>
        </is>
      </c>
      <c r="O75" s="8" t="inlineStr">
        <is>
          <t>未完成</t>
        </is>
      </c>
    </row>
    <row r="76" ht="71.5" customHeight="1">
      <c r="A76" s="5" t="n"/>
      <c r="B76" s="6" t="n"/>
      <c r="C76" s="7" t="n"/>
      <c r="D76" s="5" t="inlineStr">
        <is>
          <t>Reverend and The Makers 演唱会</t>
        </is>
      </c>
      <c r="E76" s="5" t="inlineStr">
        <is>
          <t>Northumbria Students' Union, 2 Sandyford Road, Newcastle upon Tyne NE1 8SB</t>
        </is>
      </c>
      <c r="F76" s="5" t="inlineStr">
        <is>
          <t>exact</t>
        </is>
      </c>
      <c r="G76" s="8" t="inlineStr">
        <is>
          <t>14 Nov 2026（周六）19:00 开门</t>
        </is>
      </c>
      <c r="H76" s="8" t="inlineStr">
        <is>
          <t>年轻人娱乐(Live Music/独立摇滚)</t>
        </is>
      </c>
      <c r="I76" s="10" t="inlineStr">
        <is>
          <t>中热度</t>
        </is>
      </c>
      <c r="J76" s="8" t="inlineStr">
        <is>
          <t>SJM Concerts 主办，Ticketmaster / Songkick / Bandsintown 都有正式票务页；成熟乐队巡演</t>
        </is>
      </c>
      <c r="K76" s="8" t="inlineStr">
        <is>
          <t>https://www.songkick.com/concerts/43167629-reverend-and-the-makers-at-northumbria-students-union ; https://www.ents24.com/newcastle-upon-tyne-events/northumbria-university-students-union/reverend-and-the-makers/7473947</t>
        </is>
      </c>
      <c r="L76" s="8" t="inlineStr">
        <is>
          <t>就在 Northumbria 学生会里，在校生走路就到</t>
        </is>
      </c>
      <c r="M76" s="8" t="inlineStr">
        <is>
          <t>Live Music Crew</t>
        </is>
      </c>
      <c r="N76" s="8" t="inlineStr">
        <is>
          <t>未取图：云端环境出站被拦（WebFetch EGRESS_BLOCKED），需在本地 Claude Code 补</t>
        </is>
      </c>
      <c r="O76" s="8" t="inlineStr">
        <is>
          <t>未完成</t>
        </is>
      </c>
    </row>
    <row r="77" ht="58" customHeight="1">
      <c r="A77" s="5" t="inlineStr">
        <is>
          <t>Durham university</t>
        </is>
      </c>
      <c r="B77" s="6" t="inlineStr">
        <is>
          <t>待制作：Durham university.png</t>
        </is>
      </c>
      <c r="C77" s="7" t="inlineStr">
        <is>
          <t>🔍 Event Radar (UK) — what's worth doing this month.
This month: DURHAM 👇
👻 Beamish Halloween Evenings, County Durham — "The Un-living Museum of the North", from 28 Oct.
🎷 Durham Jazz Festival, Durham — from pop-up bar gigs to theatre headliners, 23–25 Oct.</t>
        </is>
      </c>
      <c r="D77" s="5" t="inlineStr">
        <is>
          <t>Beamish Halloween Evenings："The Un-living Museum of the North"</t>
        </is>
      </c>
      <c r="E77" s="5" t="inlineStr">
        <is>
          <t>Beamish Museum, Beamish, County Durham DH9 0RG</t>
        </is>
      </c>
      <c r="F77" s="5" t="inlineStr">
        <is>
          <t>exact</t>
        </is>
      </c>
      <c r="G77" s="8" t="inlineStr">
        <is>
          <t>⚠️整季场次说法不一；官网确认有 28 Oct 2026 这一场，其余场次看官网</t>
        </is>
      </c>
      <c r="H77" s="8" t="inlineStr">
        <is>
          <t>年轻人娱乐(沉浸式/万圣节) + 一日游</t>
        </is>
      </c>
      <c r="I77" s="9" t="inlineStr">
        <is>
          <t>高热度</t>
        </is>
      </c>
      <c r="J77" s="8" t="inlineStr">
        <is>
          <t>英国知名露天博物馆的年度万圣节夜场；只能网上提前买票，往年经常售罄</t>
        </is>
      </c>
      <c r="K77" s="8" t="inlineStr">
        <is>
          <t>https://www.beamish.org.uk/events/halloween-evening-28-oct-2026/ ; https://www.beamish.org.uk/halloween-at-beamish/</t>
        </is>
      </c>
      <c r="L77" s="8" t="inlineStr">
        <is>
          <t>在纽卡斯尔和杜伦中间，两边都能去；有吓人路线，也有不吓人的；年卡在夜场不能用</t>
        </is>
      </c>
      <c r="M77" s="8" t="inlineStr">
        <is>
          <t>Newcastle university / Newcastle university 2 / Northumbria university</t>
        </is>
      </c>
      <c r="N77" s="8" t="inlineStr">
        <is>
          <t>未取图：云端环境出站被拦（WebFetch EGRESS_BLOCKED），需在本地 Claude Code 补</t>
        </is>
      </c>
      <c r="O77" s="8" t="inlineStr">
        <is>
          <t>未完成</t>
        </is>
      </c>
    </row>
    <row r="78" ht="71.5" customHeight="1">
      <c r="A78" s="5" t="n"/>
      <c r="B78" s="6" t="n"/>
      <c r="C78" s="7" t="n"/>
      <c r="D78" s="5" t="inlineStr">
        <is>
          <t>Durham Jazz Festival 2026</t>
        </is>
      </c>
      <c r="E78" s="5" t="inlineStr">
        <is>
          <t>Gala Theatre &amp; Gala Studio（Millennium Place, Durham）/ Redhills (Durham Miners' Hall) / Sir Thomas Allen Assembly Rooms / Old Cinema Launderette（Gilesgate）等</t>
        </is>
      </c>
      <c r="F78" s="5" t="inlineStr">
        <is>
          <t>venue_only</t>
        </is>
      </c>
      <c r="G78" s="8" t="inlineStr">
        <is>
          <t>23–25 Oct 2026</t>
        </is>
      </c>
      <c r="H78" s="8" t="inlineStr">
        <is>
          <t>年轻人娱乐(Live Music/爵士)</t>
        </is>
      </c>
      <c r="I78" s="11" t="inlineStr">
        <is>
          <t>潜在价值</t>
        </is>
      </c>
      <c r="J78" s="8" t="inlineStr">
        <is>
          <t>2025 年创办，今年第二届；UK Jazz News、Visit County Durham 都有报道；还没有售票数据</t>
        </is>
      </c>
      <c r="K78" s="8" t="inlineStr">
        <is>
          <t>https://durhamjazzfestival.co.uk/ ; https://ukjazznews.com/durham-jazz-festival-2026-23-to-26-october/</t>
        </is>
      </c>
      <c r="L78" s="8" t="inlineStr">
        <is>
          <t>场地都在杜伦市中心，有酒吧快闪演出，也有剧院大场，门槛可高可低</t>
        </is>
      </c>
      <c r="M78" s="8" t="inlineStr">
        <is>
          <t>—</t>
        </is>
      </c>
      <c r="N78" s="8" t="inlineStr">
        <is>
          <t>未取图：云端环境出站被拦（WebFetch EGRESS_BLOCKED），需在本地 Claude Code 补</t>
        </is>
      </c>
      <c r="O78" s="8" t="inlineStr">
        <is>
          <t>未完成</t>
        </is>
      </c>
    </row>
    <row r="79" ht="85" customHeight="1">
      <c r="A79" s="5" t="inlineStr">
        <is>
          <t>Leeds Uni Student Hub / Leeds University group 2</t>
        </is>
      </c>
      <c r="B79" s="6" t="inlineStr">
        <is>
          <t>待制作：Leeds Uni Student Hub.png</t>
        </is>
      </c>
      <c r="C79" s="7" t="inlineStr">
        <is>
          <t>🔍 Event Radar (UK) — what's worth doing this month.
This month: LEEDS 👇
💡 Light Night Leeds, Leeds city centre — 40+ free light installations, 28–29 Oct.
🎬 Leeds International Film Festival, Leeds — the 40th edition at Hyde Park Picture House &amp; more, 29 Oct–15 Nov.
🎸 Embrace 30th Anniversary Tour, O2 Academy Leeds — Britpop classics live, 13 Nov.</t>
        </is>
      </c>
      <c r="D79" s="5" t="inlineStr">
        <is>
          <t>Light Night Leeds 2026（主题：A City Speaks）</t>
        </is>
      </c>
      <c r="E79" s="5" t="inlineStr">
        <is>
          <t>Leeds city centre：信息点在 Millennium Square；主要区域有 Briggate、Town Hall、Corn Exchange、Civic Hall、South Bank（Royal Armouries 一带）</t>
        </is>
      </c>
      <c r="F79" s="5" t="inlineStr">
        <is>
          <t>venue_only</t>
        </is>
      </c>
      <c r="G79" s="8" t="inlineStr">
        <is>
          <t>28–29 Oct 2026（周三、周四）18:00 起（结束时间有 21:30 和 22:00 两种说法）</t>
        </is>
      </c>
      <c r="H79" s="8" t="inlineStr">
        <is>
          <t>本地生活类(灯光艺术节)</t>
        </is>
      </c>
      <c r="I79" s="9" t="inlineStr">
        <is>
          <t>高热度</t>
        </is>
      </c>
      <c r="J79" s="8" t="inlineStr">
        <is>
          <t>Leeds 市议会官方确认；号称英国最大的年度灯光艺术节；今年是 Leeds 400 周年的一部分；Yorkshire Evening Post 多次报道</t>
        </is>
      </c>
      <c r="K79" s="8" t="inlineStr">
        <is>
          <t>https://news.leeds.gov.uk/news/return-of-citys-light-night-will-be-talk-of-the-town-as-it-moves-into-half-term ; https://www.yorkshireeveningpost.co.uk/whats-on/light-night-leeds-2026-briggate-projection-british-library-october-9208998</t>
        </is>
      </c>
      <c r="L79" s="8" t="inlineStr">
        <is>
          <t>全部免费，40 多个互动装置遍布市中心，下课后顺路就能逛</t>
        </is>
      </c>
      <c r="M79" s="8" t="inlineStr">
        <is>
          <t>—</t>
        </is>
      </c>
      <c r="N79" s="8" t="inlineStr">
        <is>
          <t>未取图：云端环境出站被拦（WebFetch EGRESS_BLOCKED），需在本地 Claude Code 补</t>
        </is>
      </c>
      <c r="O79" s="8" t="inlineStr">
        <is>
          <t>未完成</t>
        </is>
      </c>
    </row>
    <row r="80" ht="71.5" customHeight="1">
      <c r="A80" s="5" t="n"/>
      <c r="B80" s="6" t="n"/>
      <c r="C80" s="7" t="n"/>
      <c r="D80" s="5" t="inlineStr">
        <is>
          <t>Leeds International Film Festival（第 40 届）</t>
        </is>
      </c>
      <c r="E80" s="5" t="inlineStr">
        <is>
          <t>Hyde Park Picture House, 73 Brudenell Road, Leeds LS6 1JD / Everyman Leeds 等多个影院</t>
        </is>
      </c>
      <c r="F80" s="5" t="inlineStr">
        <is>
          <t>venue_only</t>
        </is>
      </c>
      <c r="G80" s="8" t="inlineStr">
        <is>
          <t>29 Oct – 15 Nov 2026（有来源写 5–22 Nov；主流来源和官方节目时间表都写 29 Oct 开始）</t>
        </is>
      </c>
      <c r="H80" s="8" t="inlineStr">
        <is>
          <t>电影/媒体</t>
        </is>
      </c>
      <c r="I80" s="9" t="inlineStr">
        <is>
          <t>高热度</t>
        </is>
      </c>
      <c r="J80" s="8" t="inlineStr">
        <is>
          <t>第 40 届，英国历史最悠久的电影节之一；10/1 节目上线、10/8 单片开票（YEP 报道）</t>
        </is>
      </c>
      <c r="K80" s="8" t="inlineStr">
        <is>
          <t>https://www.leedsfilm.com/liff-2026-6ftb ; https://www.yorkshireeveningpost.co.uk/whats-on/arts-and-entertainment/leeds-international-film-festival-2026-opening-films-liff-40th-9021020</t>
        </is>
      </c>
      <c r="L80" s="8" t="inlineStr">
        <is>
          <t>Hyde Park Picture House 就在 Leeds 大学学生区旁边；几乎整个窗口期都有放映</t>
        </is>
      </c>
      <c r="M80" s="8" t="inlineStr">
        <is>
          <t>Reel Talk Club</t>
        </is>
      </c>
      <c r="N80" s="8" t="inlineStr">
        <is>
          <t>未取图：云端环境出站被拦（WebFetch EGRESS_BLOCKED），需在本地 Claude Code 补</t>
        </is>
      </c>
      <c r="O80" s="8" t="inlineStr">
        <is>
          <t>未完成</t>
        </is>
      </c>
    </row>
    <row r="81" ht="58" customHeight="1">
      <c r="A81" s="5" t="n"/>
      <c r="B81" s="6" t="n"/>
      <c r="C81" s="7" t="n"/>
      <c r="D81" s="5" t="inlineStr">
        <is>
          <t>Embrace 30 周年巡演（嘉宾：The Rolling People / The Bunny Suit）</t>
        </is>
      </c>
      <c r="E81" s="5" t="inlineStr">
        <is>
          <t>O2 Academy Leeds, 55 Cookridge Street, Leeds LS2 3AW</t>
        </is>
      </c>
      <c r="F81" s="5" t="inlineStr">
        <is>
          <t>exact</t>
        </is>
      </c>
      <c r="G81" s="8" t="inlineStr">
        <is>
          <t>13 Nov 2026（周五）19:00</t>
        </is>
      </c>
      <c r="H81" s="8" t="inlineStr">
        <is>
          <t>年轻人娱乐(Live Music/英伦摇滚)</t>
        </is>
      </c>
      <c r="I81" s="10" t="inlineStr">
        <is>
          <t>中热度</t>
        </is>
      </c>
      <c r="J81" s="8" t="inlineStr">
        <is>
          <t>Live Nation / Academy Music Group 正式售票；乐队 30 周年新专辑巡演</t>
        </is>
      </c>
      <c r="K81" s="8" t="inlineStr">
        <is>
          <t>https://www.academymusicgroup.com/o2academyleeds/events/embrace-tickets-ae136632 ; https://www.gigsandtours.com/event/embrace/o2-academy-leeds/3605026</t>
        </is>
      </c>
      <c r="L81" s="8" t="inlineStr">
        <is>
          <t>票价约 £37.70；场馆离 Leeds 大学、Leeds Beckett 都近</t>
        </is>
      </c>
      <c r="M81" s="8" t="inlineStr">
        <is>
          <t>Live Music Crew</t>
        </is>
      </c>
      <c r="N81" s="8" t="inlineStr">
        <is>
          <t>未取图：云端环境出站被拦（WebFetch EGRESS_BLOCKED），需在本地 Claude Code 补</t>
        </is>
      </c>
      <c r="O81" s="8" t="inlineStr">
        <is>
          <t>未完成</t>
        </is>
      </c>
    </row>
    <row r="82" ht="58" customHeight="1">
      <c r="A82" s="5" t="inlineStr">
        <is>
          <t>Huddersfield Uni Student Hub</t>
        </is>
      </c>
      <c r="B82" s="6" t="inlineStr">
        <is>
          <t>待制作：Huddersfield Uni Student Hub.png</t>
        </is>
      </c>
      <c r="C82" s="7" t="inlineStr">
        <is>
          <t>🔍 Event Radar (UK) — what's worth doing this month.
This month: BONFIRE NIGHT 👇
🔥 Round Table Charity Bonfire, Huddersfield — bonfire &amp; fireworks, £5 entry, 7 Nov.
🎆 Mirfield Bonfire &amp; Firework Extravaganza, Mirfield — bonfire, music stage and funfair, 7 Nov.</t>
        </is>
      </c>
      <c r="D82" s="5" t="inlineStr">
        <is>
          <t>Huddersfield &amp; District Round Table 慈善篝火烟花夜</t>
        </is>
      </c>
      <c r="E82" s="5" t="inlineStr">
        <is>
          <t>DRAM Sport &amp; Community Centre, Ridgeway, Dalton, Huddersfield HD5 9QJ</t>
        </is>
      </c>
      <c r="F82" s="5" t="inlineStr">
        <is>
          <t>exact</t>
        </is>
      </c>
      <c r="G82" s="8" t="inlineStr">
        <is>
          <t>7 Nov 2026（周六）17:00 开门</t>
        </is>
      </c>
      <c r="H82" s="8" t="inlineStr">
        <is>
          <t>年轻人娱乐(烟花)</t>
        </is>
      </c>
      <c r="I82" s="11" t="inlineStr">
        <is>
          <t>潜在价值</t>
        </is>
      </c>
      <c r="J82" s="8" t="inlineStr">
        <is>
          <t>Yorkshire Live 列入约克郡篝火夜推荐；本地慈善机构年年办；没有售票数据</t>
        </is>
      </c>
      <c r="K82" s="8" t="inlineStr">
        <is>
          <t>https://www.examinerlive.co.uk/whats-on/family-kids-news/bonfire-night-2026-yorkshires-biggest-34659274</t>
        </is>
      </c>
      <c r="L82" s="8" t="inlineStr">
        <is>
          <t>成人 £5，很便宜，离市中心近</t>
        </is>
      </c>
      <c r="M82" s="8" t="inlineStr">
        <is>
          <t>—</t>
        </is>
      </c>
      <c r="N82" s="8" t="inlineStr">
        <is>
          <t>未取图：云端环境出站被拦（WebFetch EGRESS_BLOCKED），需在本地 Claude Code 补</t>
        </is>
      </c>
      <c r="O82" s="8" t="inlineStr">
        <is>
          <t>未完成</t>
        </is>
      </c>
    </row>
    <row r="83" ht="58" customHeight="1">
      <c r="A83" s="5" t="n"/>
      <c r="B83" s="6" t="n"/>
      <c r="C83" s="7" t="n"/>
      <c r="D83" s="5" t="inlineStr">
        <is>
          <t>Mirfield Bonfire &amp; Firework Extravaganza</t>
        </is>
      </c>
      <c r="E83" s="5" t="inlineStr">
        <is>
          <t>Mirfield Showground, Huddersfield Road, Mirfield WF14 9NE</t>
        </is>
      </c>
      <c r="F83" s="5" t="inlineStr">
        <is>
          <t>exact</t>
        </is>
      </c>
      <c r="G83" s="8" t="inlineStr">
        <is>
          <t>7 Nov 2026（周六）16:00 开门，约 19:30 放烟花</t>
        </is>
      </c>
      <c r="H83" s="8" t="inlineStr">
        <is>
          <t>年轻人娱乐(烟花/音乐)</t>
        </is>
      </c>
      <c r="I83" s="11" t="inlineStr">
        <is>
          <t>潜在价值</t>
        </is>
      </c>
      <c r="J83" s="8" t="inlineStr">
        <is>
          <t>Yorkshire Live 列入约克郡最大篝火夜之一；有音乐舞台和游乐场；没有售票数据</t>
        </is>
      </c>
      <c r="K83" s="8" t="inlineStr">
        <is>
          <t>https://www.examinerlive.co.uk/whats-on/family-kids-news/bonfire-night-2026-yorkshires-biggest-34659274</t>
        </is>
      </c>
      <c r="L83" s="8" t="inlineStr">
        <is>
          <t>离 Huddersfield 约 10 公里，比市内的活动规模大</t>
        </is>
      </c>
      <c r="M83" s="8" t="inlineStr">
        <is>
          <t>—</t>
        </is>
      </c>
      <c r="N83" s="8" t="inlineStr">
        <is>
          <t>未取图：云端环境出站被拦（WebFetch EGRESS_BLOCKED），需在本地 Claude Code 补</t>
        </is>
      </c>
      <c r="O83" s="8" t="inlineStr">
        <is>
          <t>未完成</t>
        </is>
      </c>
    </row>
    <row r="84" ht="58" customHeight="1">
      <c r="A84" s="5" t="inlineStr">
        <is>
          <t>Staffs Student Life | Stoke / Keele Campus Life</t>
        </is>
      </c>
      <c r="B84" s="6" t="inlineStr">
        <is>
          <t>待制作：Staffs Student Life | Stoke.png</t>
        </is>
      </c>
      <c r="C84" s="7" t="inlineStr">
        <is>
          <t>🔍 Event Radar (UK) — what's worth doing this month.
This month: STOKE 👇
🎃 Trentham Halloween Festival, Stoke-on-Trent — fire shows, pumpkin trail &amp; silent disco, 31 Oct–1 Nov.
🎤 Stoke Comedy Festival, King's Hall — Adam Kay, The Traitors' Hannah Byczkowski &amp; more, 13–15 Nov.
👻 Big Halloween Street Party, Hanley — free street party in the city centre, 31 Oct.</t>
        </is>
      </c>
      <c r="D84" s="5" t="inlineStr">
        <is>
          <t>Trentham Halloween Festival</t>
        </is>
      </c>
      <c r="E84" s="5" t="inlineStr">
        <is>
          <t>Trentham Estate, Stone Road, Trentham, Stoke-on-Trent ST4 8JG</t>
        </is>
      </c>
      <c r="F84" s="5" t="inlineStr">
        <is>
          <t>exact</t>
        </is>
      </c>
      <c r="G84" s="8" t="inlineStr">
        <is>
          <t>31 Oct – 1 Nov 2026</t>
        </is>
      </c>
      <c r="H84" s="8" t="inlineStr">
        <is>
          <t>年轻人娱乐(万圣节/户外)</t>
        </is>
      </c>
      <c r="I84" s="10" t="inlineStr">
        <is>
          <t>中热度</t>
        </is>
      </c>
      <c r="J84" s="8" t="inlineStr">
        <is>
          <t>Trentham Estate 官方主办，Visit Staffordshire 收录；有火舞表演、南瓜灯小路、静音 disco</t>
        </is>
      </c>
      <c r="K84" s="8" t="inlineStr">
        <is>
          <t>https://trentham.co.uk/events/trentham-halloween-festival/ ; https://www.visitstaffordshire.com/event/trentham-halloween-festival/234108101/</t>
        </is>
      </c>
      <c r="L84" s="8" t="inlineStr">
        <is>
          <t>离 Keele、Staffs 都近；静音 disco 和火舞适合年轻人</t>
        </is>
      </c>
      <c r="M84" s="8" t="inlineStr">
        <is>
          <t>—</t>
        </is>
      </c>
      <c r="N84" s="8" t="inlineStr">
        <is>
          <t>未取图：云端环境出站被拦（WebFetch EGRESS_BLOCKED），需在本地 Claude Code 补</t>
        </is>
      </c>
      <c r="O84" s="8" t="inlineStr">
        <is>
          <t>未完成</t>
        </is>
      </c>
    </row>
    <row r="85" ht="58" customHeight="1">
      <c r="A85" s="5" t="n"/>
      <c r="B85" s="6" t="n"/>
      <c r="C85" s="7" t="n"/>
      <c r="D85" s="5" t="inlineStr">
        <is>
          <t>Stoke-on-Trent Comedy Festival（含 Adam Kay、Hannah Byczkowski）</t>
        </is>
      </c>
      <c r="E85" s="5" t="inlineStr">
        <is>
          <t>King's Hall, Glebe Street, Stoke-on-Trent ST4 1HH</t>
        </is>
      </c>
      <c r="F85" s="5" t="inlineStr">
        <is>
          <t>exact</t>
        </is>
      </c>
      <c r="G85" s="8" t="inlineStr">
        <is>
          <t>13–15 Nov 2026（Adam Kay：14 Nov 20:00）</t>
        </is>
      </c>
      <c r="H85" s="8" t="inlineStr">
        <is>
          <t>年轻人娱乐(喜剧)</t>
        </is>
      </c>
      <c r="I85" s="10" t="inlineStr">
        <is>
          <t>中热度</t>
        </is>
      </c>
      <c r="J85" s="8" t="inlineStr">
        <is>
          <t>市政场馆 King's Hall 主办的喜剧节；Adam Kay（This Is Going to Hurt）是知名巡演喜剧人</t>
        </is>
      </c>
      <c r="K85" s="8" t="inlineStr">
        <is>
          <t>https://www.stoke.gov.uk/kingshallevents ; https://www.songkick.com/metro-areas/24537-uk-stoke-on-trent/november-2026</t>
        </is>
      </c>
      <c r="L85" s="8" t="inlineStr">
        <is>
          <t>周末喜剧节，有好几场可以选；Byczkowski 是《The Traitors》第一季冠军，话题度高</t>
        </is>
      </c>
      <c r="M85" s="8" t="inlineStr">
        <is>
          <t>—</t>
        </is>
      </c>
      <c r="N85" s="8" t="inlineStr">
        <is>
          <t>未取图：云端环境出站被拦（WebFetch EGRESS_BLOCKED），需在本地 Claude Code 补</t>
        </is>
      </c>
      <c r="O85" s="8" t="inlineStr">
        <is>
          <t>未完成</t>
        </is>
      </c>
    </row>
    <row r="86" ht="58" customHeight="1">
      <c r="A86" s="5" t="n"/>
      <c r="B86" s="6" t="n"/>
      <c r="C86" s="7" t="n"/>
      <c r="D86" s="5" t="inlineStr">
        <is>
          <t>Big Halloween Street Party（免费）</t>
        </is>
      </c>
      <c r="E86" s="5" t="inlineStr">
        <is>
          <t>Hanley city centre, Stoke-on-Trent（City Centre BID 主办；⚠️具体街区官方没写）</t>
        </is>
      </c>
      <c r="F86" s="5" t="inlineStr">
        <is>
          <t>city_only</t>
        </is>
      </c>
      <c r="G86" s="8" t="inlineStr">
        <is>
          <t>31 Oct 2026（周六）10:00 起（Facebook 活动页写的日期）</t>
        </is>
      </c>
      <c r="H86" s="8" t="inlineStr">
        <is>
          <t>本地生活类(万圣节街头活动)</t>
        </is>
      </c>
      <c r="I86" s="11" t="inlineStr">
        <is>
          <t>潜在价值</t>
        </is>
      </c>
      <c r="J86" s="8" t="inlineStr">
        <is>
          <t>Visit Stoke 官方收录，年年举办的免费街头活动；偏家庭向</t>
        </is>
      </c>
      <c r="K86" s="8" t="inlineStr">
        <is>
          <t>https://www.visitstoke.co.uk/whats-on/the-big-halloween-street-party-p2022331</t>
        </is>
      </c>
      <c r="L86" s="8" t="inlineStr">
        <is>
          <t>免费，Staffs 在 Hanley 附近；有街头表演和手工市集</t>
        </is>
      </c>
      <c r="M86" s="8" t="inlineStr">
        <is>
          <t>—</t>
        </is>
      </c>
      <c r="N86" s="8" t="inlineStr">
        <is>
          <t>未取图：云端环境出站被拦（WebFetch EGRESS_BLOCKED），需在本地 Claude Code 补</t>
        </is>
      </c>
      <c r="O86" s="8" t="inlineStr">
        <is>
          <t>未完成</t>
        </is>
      </c>
    </row>
    <row r="87" ht="58" customHeight="1">
      <c r="A87" s="5" t="inlineStr">
        <is>
          <t>University of Cardiff / Cardiff Metropolitan University</t>
        </is>
      </c>
      <c r="B87" s="6" t="inlineStr">
        <is>
          <t>待制作：University of Cardiff.png</t>
        </is>
      </c>
      <c r="C87" s="7" t="inlineStr">
        <is>
          <t>🔍 Event Radar (UK) — what's worth doing this month.
This month: CARDIFF 👇
⛸️ Cardiff's Winter Wonderland, Cardiff Castle — ice skating in a castle, from 12 Nov.
🔥 St Fagans Halloween Nights, Cardiff — Welsh folklore and a Wicker Man burning each night, £16, 29–31 Oct.
🏉 Wales v Japan, Principality Stadium — Nations Championship rugby, 7 Nov.
🏉 Wales v New Zealand, Principality Stadium — the big one against the All Blacks, 14 Nov.
🎄 Cardiff Christmas Market, Cardiff city centre — plus a new Victorian market on Queen St (12–15 Nov), from 12 Nov.
🏳️‍🌈 Iris Prize LGBTQ+ Film Festival, Cardiff — 20th anniversary &amp; awards night, to 18 Oct.</t>
        </is>
      </c>
      <c r="D87" s="5" t="inlineStr">
        <is>
          <t>Cardiff's Winter Wonderland 2026（冰场 / 摩天轮 / 冰壶）</t>
        </is>
      </c>
      <c r="E87" s="5" t="inlineStr">
        <is>
          <t>Cardiff Castle, Castle Street, Cardiff CF10 3RB &amp; City Hall Lawn</t>
        </is>
      </c>
      <c r="F87" s="5" t="inlineStr">
        <is>
          <t>exact</t>
        </is>
      </c>
      <c r="G87" s="8" t="inlineStr">
        <is>
          <t>12 Nov 2026 – 3 Jan 2027（窗口内为 12–15 Nov）</t>
        </is>
      </c>
      <c r="H87" s="8" t="inlineStr">
        <is>
          <t>年轻人娱乐(滑冰/游乐)</t>
        </is>
      </c>
      <c r="I87" s="9" t="inlineStr">
        <is>
          <t>高热度</t>
        </is>
      </c>
      <c r="J87" s="8" t="inlineStr">
        <is>
          <t>Visit Cardiff 官方收录，年年举办；Nation.Cymru、Wales247 报道了 2026 年日期</t>
        </is>
      </c>
      <c r="K87" s="8" t="inlineStr">
        <is>
          <t>https://www.visitcardiff.com/christmas/cardiffs-winter-wonderland/ ; https://www.wales247.co.uk/cardiff-confirms-christmas-lights-date-and-festive-attractions-for-2026</t>
        </is>
      </c>
      <c r="L87" s="8" t="inlineStr">
        <is>
          <t>城堡里的露天冰场很出片；今年新增冰壶体验</t>
        </is>
      </c>
      <c r="M87" s="8" t="inlineStr">
        <is>
          <t>—</t>
        </is>
      </c>
      <c r="N87" s="8" t="inlineStr">
        <is>
          <t>未取图：云端环境出站被拦（WebFetch EGRESS_BLOCKED），需在本地 Claude Code 补</t>
        </is>
      </c>
      <c r="O87" s="8" t="inlineStr">
        <is>
          <t>未完成</t>
        </is>
      </c>
    </row>
    <row r="88" ht="58" customHeight="1">
      <c r="A88" s="5" t="n"/>
      <c r="B88" s="6" t="n"/>
      <c r="C88" s="7" t="n"/>
      <c r="D88" s="5" t="inlineStr">
        <is>
          <t>St Fagans Halloween Nights（每晚烧 Wicker Man）</t>
        </is>
      </c>
      <c r="E88" s="5" t="inlineStr">
        <is>
          <t>St Fagans National Museum of History, Cardiff CF5 6XB</t>
        </is>
      </c>
      <c r="F88" s="5" t="inlineStr">
        <is>
          <t>exact</t>
        </is>
      </c>
      <c r="G88" s="8" t="inlineStr">
        <is>
          <t>29–31 Oct 2026，17:30–21:00</t>
        </is>
      </c>
      <c r="H88" s="8" t="inlineStr">
        <is>
          <t>年轻人娱乐(沉浸式/万圣节) + 本地文化</t>
        </is>
      </c>
      <c r="I88" s="9" t="inlineStr">
        <is>
          <t>高热度</t>
        </is>
      </c>
      <c r="J88" s="8" t="inlineStr">
        <is>
          <t>威尔士国家博物馆主办；官方说"门票预计很快售罄"；年年举办</t>
        </is>
      </c>
      <c r="K88" s="8" t="inlineStr">
        <is>
          <t>https://museum.wales/stfagans/whatson/12647/Halloween-Nights/ ; https://letsgowiththechildren.co.uk/events/halloween-nights-2026-at-st-fagans-national-museum-of-history-cardiff</t>
        </is>
      </c>
      <c r="L88" s="8" t="inlineStr">
        <is>
          <t>票价 £16；威尔士民俗 + 万圣节，还有鬼屋 disco 和游乐场；必须提前买票</t>
        </is>
      </c>
      <c r="M88" s="8" t="inlineStr">
        <is>
          <t>—</t>
        </is>
      </c>
      <c r="N88" s="8" t="inlineStr">
        <is>
          <t>未取图：云端环境出站被拦（WebFetch EGRESS_BLOCKED），需在本地 Claude Code 补</t>
        </is>
      </c>
      <c r="O88" s="8" t="inlineStr">
        <is>
          <t>未完成</t>
        </is>
      </c>
    </row>
    <row r="89" ht="71.5" customHeight="1">
      <c r="A89" s="5" t="n"/>
      <c r="B89" s="6" t="n"/>
      <c r="C89" s="7" t="n"/>
      <c r="D89" s="5" t="inlineStr">
        <is>
          <t>威尔士 vs 日本（Nations Championship 橄榄球）</t>
        </is>
      </c>
      <c r="E89" s="5" t="inlineStr">
        <is>
          <t>Principality Stadium, Westgate Street, Cardiff CF10 1NS</t>
        </is>
      </c>
      <c r="F89" s="5" t="inlineStr">
        <is>
          <t>exact</t>
        </is>
      </c>
      <c r="G89" s="8" t="inlineStr">
        <is>
          <t>7 Nov 2026（周六）16:40 开球</t>
        </is>
      </c>
      <c r="H89" s="8" t="inlineStr">
        <is>
          <t>运动户外(观赛)</t>
        </is>
      </c>
      <c r="I89" s="9" t="inlineStr">
        <is>
          <t>高热度</t>
        </is>
      </c>
      <c r="J89" s="8" t="inlineStr">
        <is>
          <t>WRU 官方公布；球场官网有单场售票页</t>
        </is>
      </c>
      <c r="K89" s="8" t="inlineStr">
        <is>
          <t>https://www.wru.wales/2026/03/dates-confirmed-for-wales-home-nations-championship-fixtures ; https://www.principalitystadium.wales/event/nations-championship-2026-wales-v-japan/</t>
        </is>
      </c>
      <c r="L89" s="8" t="inlineStr">
        <is>
          <t>市中心球场，比赛日全城都是气氛；对日本这场的票通常比对新西兰便宜</t>
        </is>
      </c>
      <c r="M89" s="8" t="inlineStr">
        <is>
          <t>—</t>
        </is>
      </c>
      <c r="N89" s="8" t="inlineStr">
        <is>
          <t>未取图：云端环境出站被拦（WebFetch EGRESS_BLOCKED），需在本地 Claude Code 补</t>
        </is>
      </c>
      <c r="O89" s="8" t="inlineStr">
        <is>
          <t>未完成</t>
        </is>
      </c>
    </row>
    <row r="90" ht="58" customHeight="1">
      <c r="A90" s="5" t="n"/>
      <c r="B90" s="6" t="n"/>
      <c r="C90" s="7" t="n"/>
      <c r="D90" s="5" t="inlineStr">
        <is>
          <t>威尔士 vs 新西兰（Nations Championship 橄榄球）</t>
        </is>
      </c>
      <c r="E90" s="5" t="inlineStr">
        <is>
          <t>Principality Stadium, Westgate Street, Cardiff CF10 1NS</t>
        </is>
      </c>
      <c r="F90" s="5" t="inlineStr">
        <is>
          <t>exact</t>
        </is>
      </c>
      <c r="G90" s="8" t="inlineStr">
        <is>
          <t>14 Nov 2026（周六）</t>
        </is>
      </c>
      <c r="H90" s="8" t="inlineStr">
        <is>
          <t>运动户外(观赛)</t>
        </is>
      </c>
      <c r="I90" s="9" t="inlineStr">
        <is>
          <t>高热度</t>
        </is>
      </c>
      <c r="J90" s="8" t="inlineStr">
        <is>
          <t>WRU 官方公布；对全黑队是秋季重头戏</t>
        </is>
      </c>
      <c r="K90" s="8" t="inlineStr">
        <is>
          <t>https://www.principalitystadium.wales/event/nations-championship-2026-wales-v-new-zealand/</t>
        </is>
      </c>
      <c r="L90" s="8" t="inlineStr">
        <is>
          <t>⚠️对全黑队的票最贵；买不到票也可以去市中心酒吧看直播</t>
        </is>
      </c>
      <c r="M90" s="8" t="inlineStr">
        <is>
          <t>—</t>
        </is>
      </c>
      <c r="N90" s="8" t="inlineStr">
        <is>
          <t>未取图：云端环境出站被拦（WebFetch EGRESS_BLOCKED），需在本地 Claude Code 补</t>
        </is>
      </c>
      <c r="O90" s="8" t="inlineStr">
        <is>
          <t>未完成</t>
        </is>
      </c>
    </row>
    <row r="91" ht="58" customHeight="1">
      <c r="A91" s="5" t="n"/>
      <c r="B91" s="6" t="n"/>
      <c r="C91" s="7" t="n"/>
      <c r="D91" s="5" t="inlineStr">
        <is>
          <t>Cardiff Christmas Market 2026（附 Queen Street 维多利亚圣诞市集）</t>
        </is>
      </c>
      <c r="E91" s="5" t="inlineStr">
        <is>
          <t>St John Street / Working Street / Trinity Street / Hills Street / The Hayes, Cardiff city centre（维多利亚市集在 Queen Street）</t>
        </is>
      </c>
      <c r="F91" s="5" t="inlineStr">
        <is>
          <t>venue_only</t>
        </is>
      </c>
      <c r="G91" s="8" t="inlineStr">
        <is>
          <t>12 Nov – 23 Dec 2026（维多利亚市集只在 12–15 Nov）</t>
        </is>
      </c>
      <c r="H91" s="8" t="inlineStr">
        <is>
          <t>本地生活类(集市/美食)</t>
        </is>
      </c>
      <c r="I91" s="10" t="inlineStr">
        <is>
          <t>中热度</t>
        </is>
      </c>
      <c r="J91" s="8" t="inlineStr">
        <is>
          <t>年年举办的市中心圣诞市集；维多利亚市集是 2026 年新增的</t>
        </is>
      </c>
      <c r="K91" s="8" t="inlineStr">
        <is>
          <t>https://www.wales247.co.uk/cardiff-confirms-christmas-lights-date-and-festive-attractions-for-2026</t>
        </is>
      </c>
      <c r="L91" s="8" t="inlineStr">
        <is>
          <t>免费逛；12–15 Nov 这几天两个市集同时开</t>
        </is>
      </c>
      <c r="M91" s="8" t="inlineStr">
        <is>
          <t>—</t>
        </is>
      </c>
      <c r="N91" s="8" t="inlineStr">
        <is>
          <t>未取图：云端环境出站被拦（WebFetch EGRESS_BLOCKED），需在本地 Claude Code 补</t>
        </is>
      </c>
      <c r="O91" s="8" t="inlineStr">
        <is>
          <t>未完成</t>
        </is>
      </c>
    </row>
    <row r="92" ht="58" customHeight="1">
      <c r="A92" s="5" t="n"/>
      <c r="B92" s="6" t="n"/>
      <c r="C92" s="7" t="n"/>
      <c r="D92" s="5" t="inlineStr">
        <is>
          <t>Iris Prize LGBTQ+ Film Festival 20 周年</t>
        </is>
      </c>
      <c r="E92" s="5" t="inlineStr">
        <is>
          <t>Cineworld Cardiff, Mary Ann Street, Cardiff CF10 2EN（主场馆）</t>
        </is>
      </c>
      <c r="F92" s="5" t="inlineStr">
        <is>
          <t>exact</t>
        </is>
      </c>
      <c r="G92" s="8" t="inlineStr">
        <is>
          <t>12–18 Oct 2026（窗口内为 15–18 Oct；18 Oct 颁奖）</t>
        </is>
      </c>
      <c r="H92" s="8" t="inlineStr">
        <is>
          <t>电影/媒体</t>
        </is>
      </c>
      <c r="I92" s="10" t="inlineStr">
        <is>
          <t>中热度</t>
        </is>
      </c>
      <c r="J92" s="8" t="inlineStr">
        <is>
          <t>第 20 届，Visit Cardiff、Visit Wales 官方收录；Iris Prize 是有影响力的 LGBTQ+ 短片奖</t>
        </is>
      </c>
      <c r="K92" s="8" t="inlineStr">
        <is>
          <t>https://irisprize.org/ ; https://www.visitcardiff.com/events/iris-prize/</t>
        </is>
      </c>
      <c r="L92" s="8" t="inlineStr">
        <is>
          <t>窗口内有 Best British Day、20 周年庆典、颁奖夜；要推得早</t>
        </is>
      </c>
      <c r="M92" s="8" t="inlineStr">
        <is>
          <t>Reel Talk Club</t>
        </is>
      </c>
      <c r="N92" s="8" t="inlineStr">
        <is>
          <t>未取图：云端环境出站被拦（WebFetch EGRESS_BLOCKED），需在本地 Claude Code 补</t>
        </is>
      </c>
      <c r="O92" s="8" t="inlineStr">
        <is>
          <t>未完成</t>
        </is>
      </c>
    </row>
    <row r="93" ht="71.5" customHeight="1">
      <c r="A93" s="5" t="inlineStr">
        <is>
          <t>University of Aberdeen Freshers 2026</t>
        </is>
      </c>
      <c r="B93" s="6" t="inlineStr">
        <is>
          <t>待制作：University of Aberdeen Freshers 2026.png</t>
        </is>
      </c>
      <c r="C93" s="7" t="inlineStr">
        <is>
          <t>🔍 Event Radar (UK) — what's worth doing this month.
This month: ABERDEEN 👇
🎶 soundfestival, Aberdeen — new music, sound walks and a gig in a nuclear bunker, 22–31 Oct.
🎄 Aberdeen Christmas Village, Broad Street — festive food &amp; rides, free entry, from 12 Nov.
🎆 Aberdeen Fireworks Night, Aberdeen Beach — the council's free display (2026 details TBC), 5 Nov.</t>
        </is>
      </c>
      <c r="D93" s="5" t="inlineStr">
        <is>
          <t>soundfestival 2026（新音乐节）</t>
        </is>
      </c>
      <c r="E93" s="5" t="inlineStr">
        <is>
          <t>Aberdeen &amp; Aberdeenshire 多个场地：The Lemon Tree（5 West North Street, AB24 5AT）、Cowdray Hall、King's Pavilion、Aberdeen Art Gallery、Maritime Museum、Anatomy Rooms，另有一场在前核掩体</t>
        </is>
      </c>
      <c r="F93" s="5" t="inlineStr">
        <is>
          <t>venue_only</t>
        </is>
      </c>
      <c r="G93" s="8" t="inlineStr">
        <is>
          <t>22–31 Oct 2026</t>
        </is>
      </c>
      <c r="H93" s="8" t="inlineStr">
        <is>
          <t>年轻人娱乐(Live Music/实验音乐)</t>
        </is>
      </c>
      <c r="I93" s="10" t="inlineStr">
        <is>
          <t>中热度</t>
        </is>
      </c>
      <c r="J93" s="8" t="inlineStr">
        <is>
          <t>Creative Scotland 官方报道 2026 年节目；欧洲知名的新音乐节，年年举办；有一场在前核掩体里</t>
        </is>
      </c>
      <c r="K93" s="8" t="inlineStr">
        <is>
          <t>https://www.creativescotland.com/news-stories/latest-news/archive/2026/08/acclaimed-new-music-festival-reveals-details-of-2026-edition ; https://sound-scotland.co.uk/</t>
        </is>
      </c>
      <c r="L93" s="8" t="inlineStr">
        <is>
          <t>街头表演、声音漫步、装置艺术，形式新鲜，很多场免费或便宜</t>
        </is>
      </c>
      <c r="M93" s="8" t="inlineStr">
        <is>
          <t>—</t>
        </is>
      </c>
      <c r="N93" s="8" t="inlineStr">
        <is>
          <t>未取图：云端环境出站被拦（WebFetch EGRESS_BLOCKED），需在本地 Claude Code 补</t>
        </is>
      </c>
      <c r="O93" s="8" t="inlineStr">
        <is>
          <t>未完成</t>
        </is>
      </c>
    </row>
    <row r="94" ht="71.5" customHeight="1">
      <c r="A94" s="5" t="n"/>
      <c r="B94" s="6" t="n"/>
      <c r="C94" s="7" t="n"/>
      <c r="D94" s="5" t="inlineStr">
        <is>
          <t>Aberdeen Christmas Village 2026</t>
        </is>
      </c>
      <c r="E94" s="5" t="inlineStr">
        <is>
          <t>Broad Street, Aberdeen city centre</t>
        </is>
      </c>
      <c r="F94" s="5" t="inlineStr">
        <is>
          <t>venue_only</t>
        </is>
      </c>
      <c r="G94" s="8" t="inlineStr">
        <is>
          <t>12 Nov 2026 – 3 Jan 2027（窗口内为 12–15 Nov）</t>
        </is>
      </c>
      <c r="H94" s="8" t="inlineStr">
        <is>
          <t>本地生活类(集市/节庆)</t>
        </is>
      </c>
      <c r="I94" s="10" t="inlineStr">
        <is>
          <t>中热度</t>
        </is>
      </c>
      <c r="J94" s="8" t="inlineStr">
        <is>
          <t>Aberdeen 市议会、Aberdeen Inspired 主办，年年举办</t>
        </is>
      </c>
      <c r="K94" s="8" t="inlineStr">
        <is>
          <t>https://www.aberdeeninspired.com/festival/aberdeen-christmas-market/christmas-village ; https://www.aberdeencity.gov.uk/news/christmas-village-launches-citys-festive-celebrations</t>
        </is>
      </c>
      <c r="L94" s="8" t="inlineStr">
        <is>
          <t>市中心免费逛，开幕那周就能去</t>
        </is>
      </c>
      <c r="M94" s="8" t="inlineStr">
        <is>
          <t>—</t>
        </is>
      </c>
      <c r="N94" s="8" t="inlineStr">
        <is>
          <t>未取图：云端环境出站被拦（WebFetch EGRESS_BLOCKED），需在本地 Claude Code 补</t>
        </is>
      </c>
      <c r="O94" s="8" t="inlineStr">
        <is>
          <t>未完成</t>
        </is>
      </c>
    </row>
    <row r="95" ht="58" customHeight="1">
      <c r="A95" s="5" t="n"/>
      <c r="B95" s="6" t="n"/>
      <c r="C95" s="7" t="n"/>
      <c r="D95" s="5" t="inlineStr">
        <is>
          <t>Aberdeen Fireworks Night（市议会主办）</t>
        </is>
      </c>
      <c r="E95" s="5" t="inlineStr">
        <is>
          <t>Aberdeen Beach Esplanade 南段观看；往年烟花从 Port of Aberdeen North Pier 尽头燃放（⚠️2026 年的安排还没公布）</t>
        </is>
      </c>
      <c r="F95" s="5" t="inlineStr">
        <is>
          <t>venue_only</t>
        </is>
      </c>
      <c r="G95" s="8" t="inlineStr">
        <is>
          <t>⚠️每年固定 5 Nov（2026 年是周四）19:30；2026 年的官方公告还没看到</t>
        </is>
      </c>
      <c r="H95" s="8" t="inlineStr">
        <is>
          <t>年轻人娱乐(烟花)</t>
        </is>
      </c>
      <c r="I95" s="10" t="inlineStr">
        <is>
          <t>中热度</t>
        </is>
      </c>
      <c r="J95" s="8" t="inlineStr">
        <is>
          <t>Aberdeen 市议会年年主办的免费烟花；Press and Journal 每年都有报道</t>
        </is>
      </c>
      <c r="K95" s="8" t="inlineStr">
        <is>
          <t>https://www.aberdeencity.gov.uk/node/8869 ; https://www.pressandjournal.co.uk/fp/news/6869573/all-you-need-to-know-aberdeen-fireworks-2025/</t>
        </is>
      </c>
      <c r="L95" s="8" t="inlineStr">
        <is>
          <t>免费；推之前确认一下 2026 年的官方公告和燃放地点</t>
        </is>
      </c>
      <c r="M95" s="8" t="inlineStr">
        <is>
          <t>—</t>
        </is>
      </c>
      <c r="N95" s="8" t="inlineStr">
        <is>
          <t>未取图：云端环境出站被拦（WebFetch EGRESS_BLOCKED），需在本地 Claude Code 补</t>
        </is>
      </c>
      <c r="O95" s="8" t="inlineStr">
        <is>
          <t>未完成</t>
        </is>
      </c>
    </row>
  </sheetData>
  <autoFilter ref="A1:O95"/>
  <mergeCells count="75">
    <mergeCell ref="B53:B55"/>
    <mergeCell ref="B27:B28"/>
    <mergeCell ref="A57:A59"/>
    <mergeCell ref="B18:B19"/>
    <mergeCell ref="C57:C59"/>
    <mergeCell ref="C73:C76"/>
    <mergeCell ref="A60:A63"/>
    <mergeCell ref="A45:A46"/>
    <mergeCell ref="B77:B78"/>
    <mergeCell ref="A47:A49"/>
    <mergeCell ref="A20:A24"/>
    <mergeCell ref="B2:B3"/>
    <mergeCell ref="C45:C46"/>
    <mergeCell ref="A67:A72"/>
    <mergeCell ref="B84:B86"/>
    <mergeCell ref="B82:B83"/>
    <mergeCell ref="C41:C44"/>
    <mergeCell ref="A10:A17"/>
    <mergeCell ref="A79:A81"/>
    <mergeCell ref="A93:A95"/>
    <mergeCell ref="A53:A55"/>
    <mergeCell ref="A27:A28"/>
    <mergeCell ref="C7:C9"/>
    <mergeCell ref="C53:C55"/>
    <mergeCell ref="A87:A92"/>
    <mergeCell ref="B73:B76"/>
    <mergeCell ref="B20:B24"/>
    <mergeCell ref="A41:A44"/>
    <mergeCell ref="B7:B9"/>
    <mergeCell ref="A2:A3"/>
    <mergeCell ref="B47:B49"/>
    <mergeCell ref="A37:A40"/>
    <mergeCell ref="C10:C17"/>
    <mergeCell ref="C2:C3"/>
    <mergeCell ref="A18:A19"/>
    <mergeCell ref="B50:B52"/>
    <mergeCell ref="B67:B72"/>
    <mergeCell ref="B30:B36"/>
    <mergeCell ref="B79:B81"/>
    <mergeCell ref="B93:B95"/>
    <mergeCell ref="A5:A6"/>
    <mergeCell ref="B60:B63"/>
    <mergeCell ref="A73:A76"/>
    <mergeCell ref="A84:A86"/>
    <mergeCell ref="C84:C86"/>
    <mergeCell ref="C27:C28"/>
    <mergeCell ref="C60:C63"/>
    <mergeCell ref="B64:B65"/>
    <mergeCell ref="C82:C83"/>
    <mergeCell ref="B37:B40"/>
    <mergeCell ref="B87:B92"/>
    <mergeCell ref="A77:A78"/>
    <mergeCell ref="B10:B17"/>
    <mergeCell ref="A50:A52"/>
    <mergeCell ref="C79:C81"/>
    <mergeCell ref="B5:B6"/>
    <mergeCell ref="A30:A36"/>
    <mergeCell ref="C50:C52"/>
    <mergeCell ref="B45:B46"/>
    <mergeCell ref="C30:C36"/>
    <mergeCell ref="B41:B44"/>
    <mergeCell ref="C67:C72"/>
    <mergeCell ref="C93:C95"/>
    <mergeCell ref="A7:A9"/>
    <mergeCell ref="B57:B59"/>
    <mergeCell ref="C20:C24"/>
    <mergeCell ref="C47:C49"/>
    <mergeCell ref="A64:A65"/>
    <mergeCell ref="C77:C78"/>
    <mergeCell ref="C64:C65"/>
    <mergeCell ref="C87:C92"/>
    <mergeCell ref="C37:C40"/>
    <mergeCell ref="A82:A83"/>
    <mergeCell ref="C18:C19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2" t="inlineStr">
        <is>
          <t>指标</t>
        </is>
      </c>
      <c r="B1" s="12" t="inlineStr">
        <is>
          <t>数值</t>
        </is>
      </c>
    </row>
    <row r="2">
      <c r="A2" s="13" t="inlineStr">
        <is>
          <t>发布块数（社群/合并社群）</t>
        </is>
      </c>
      <c r="B2" s="13">
        <f>COUNTA('Track B 30天活动'!A2:A1000)</f>
        <v/>
      </c>
    </row>
    <row r="3">
      <c r="A3" s="13" t="inlineStr">
        <is>
          <t>活动行数</t>
        </is>
      </c>
      <c r="B3" s="13">
        <f>COUNTA('Track B 30天活动'!D2:D1000)</f>
        <v/>
      </c>
    </row>
    <row r="4">
      <c r="A4" s="13" t="inlineStr">
        <is>
          <t>高热度</t>
        </is>
      </c>
      <c r="B4" s="13">
        <f>COUNTIF('Track B 30天活动'!I2:I1000,"高热度")</f>
        <v/>
      </c>
    </row>
    <row r="5">
      <c r="A5" s="13" t="inlineStr">
        <is>
          <t>中热度</t>
        </is>
      </c>
      <c r="B5" s="13">
        <f>COUNTIF('Track B 30天活动'!I2:I1000,"中热度")</f>
        <v/>
      </c>
    </row>
    <row r="6">
      <c r="A6" s="13" t="inlineStr">
        <is>
          <t>潜在价值</t>
        </is>
      </c>
      <c r="B6" s="13">
        <f>COUNTIF('Track B 30天活动'!I2:I1000,"潜在价值")</f>
        <v/>
      </c>
    </row>
    <row r="7">
      <c r="A7" s="13" t="inlineStr">
        <is>
          <t>日期待核实（日期含⚠️）</t>
        </is>
      </c>
      <c r="B7" s="13">
        <f>COUNTIF('Track B 30天活动'!G2:G1000,"*⚠️*")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6" customWidth="1" min="3" max="3"/>
    <col width="6" customWidth="1" min="4" max="4"/>
    <col width="70" customWidth="1" min="5" max="5"/>
  </cols>
  <sheetData>
    <row r="1">
      <c r="A1" s="12" t="inlineStr">
        <is>
          <t>社群</t>
        </is>
      </c>
      <c r="B1" s="12" t="inlineStr">
        <is>
          <t>类型</t>
        </is>
      </c>
      <c r="C1" s="12" t="inlineStr">
        <is>
          <t>本轮状态</t>
        </is>
      </c>
      <c r="D1" s="12" t="inlineStr">
        <is>
          <t>条数</t>
        </is>
      </c>
      <c r="E1" s="12" t="inlineStr">
        <is>
          <t>说明</t>
        </is>
      </c>
    </row>
    <row r="2">
      <c r="A2" s="14" t="inlineStr">
        <is>
          <t>Birdwatch Brigade</t>
        </is>
      </c>
      <c r="B2" s="14" t="inlineStr">
        <is>
          <t>兴趣类</t>
        </is>
      </c>
      <c r="C2" s="14" t="inlineStr">
        <is>
          <t>未搜（用户决定本期不搜）</t>
        </is>
      </c>
      <c r="D2" s="14" t="n">
        <v>0</v>
      </c>
      <c r="E2" s="14" t="inlineStr">
        <is>
          <t>本期到第 9 轮结束</t>
        </is>
      </c>
    </row>
    <row r="3">
      <c r="A3" s="14" t="inlineStr">
        <is>
          <t>The Gaming Corner</t>
        </is>
      </c>
      <c r="B3" s="14" t="inlineStr">
        <is>
          <t>兴趣类</t>
        </is>
      </c>
      <c r="C3" s="14" t="inlineStr">
        <is>
          <t>顺带匹配（没专门搜）</t>
        </is>
      </c>
      <c r="D3" s="14" t="n">
        <v>2</v>
      </c>
      <c r="E3" s="14" t="inlineStr">
        <is>
          <t>来自电竞轮和伦敦轮</t>
        </is>
      </c>
    </row>
    <row r="4">
      <c r="A4" s="14" t="inlineStr">
        <is>
          <t>Coffee Shop Hopping</t>
        </is>
      </c>
      <c r="B4" s="14" t="inlineStr">
        <is>
          <t>兴趣类</t>
        </is>
      </c>
      <c r="C4" s="14" t="inlineStr">
        <is>
          <t>未搜（用户决定本期不搜）</t>
        </is>
      </c>
      <c r="D4" s="14" t="n">
        <v>0</v>
      </c>
      <c r="E4" s="14" t="inlineStr">
        <is>
          <t>本期到第 9 轮结束；该社群本来就缺可靠的带日期信源</t>
        </is>
      </c>
    </row>
    <row r="5">
      <c r="A5" s="14" t="inlineStr">
        <is>
          <t>CS2 Frag Hub</t>
        </is>
      </c>
      <c r="B5" s="14" t="inlineStr">
        <is>
          <t>兴趣类</t>
        </is>
      </c>
      <c r="C5" s="14" t="inlineStr">
        <is>
          <t>第1轮 已搜/有结果</t>
        </is>
      </c>
      <c r="D5" s="14" t="n">
        <v>1</v>
      </c>
      <c r="E5" s="14" t="inlineStr">
        <is>
          <t>英国线下 CS2 基本只有 EPIC49；NSE 大学联赛以线上为主，官网被拦，赛程没拿到；未达 3–5 条</t>
        </is>
      </c>
    </row>
    <row r="6">
      <c r="A6" s="14" t="inlineStr">
        <is>
          <t>Day Trip Buddies</t>
        </is>
      </c>
      <c r="B6" s="14" t="inlineStr">
        <is>
          <t>兴趣类</t>
        </is>
      </c>
      <c r="C6" s="14" t="inlineStr">
        <is>
          <t>顺带匹配（没专门搜）</t>
        </is>
      </c>
      <c r="D6" s="14" t="n">
        <v>2</v>
      </c>
      <c r="E6" s="14" t="inlineStr"/>
    </row>
    <row r="7">
      <c r="A7" s="14" t="inlineStr">
        <is>
          <t>Study Break Crew</t>
        </is>
      </c>
      <c r="B7" s="14" t="inlineStr">
        <is>
          <t>兴趣类</t>
        </is>
      </c>
      <c r="C7" s="14" t="inlineStr">
        <is>
          <t>未搜（用户决定本期不搜）</t>
        </is>
      </c>
      <c r="D7" s="14" t="n">
        <v>0</v>
      </c>
      <c r="E7" s="14" t="inlineStr">
        <is>
          <t>本期到第 9 轮结束</t>
        </is>
      </c>
    </row>
    <row r="8">
      <c r="A8" s="14" t="inlineStr">
        <is>
          <t>Fitness Check-ins</t>
        </is>
      </c>
      <c r="B8" s="14" t="inlineStr">
        <is>
          <t>兴趣类</t>
        </is>
      </c>
      <c r="C8" s="14" t="inlineStr">
        <is>
          <t>未搜（用户决定本期不搜）</t>
        </is>
      </c>
      <c r="D8" s="14" t="n">
        <v>0</v>
      </c>
      <c r="E8" s="14" t="inlineStr">
        <is>
          <t>本期到第 9 轮结束</t>
        </is>
      </c>
    </row>
    <row r="9">
      <c r="A9" s="14" t="inlineStr">
        <is>
          <t>Girls' Corner</t>
        </is>
      </c>
      <c r="B9" s="14" t="inlineStr">
        <is>
          <t>兴趣类</t>
        </is>
      </c>
      <c r="C9" s="14" t="inlineStr">
        <is>
          <t>第1轮 已搜/有结果</t>
        </is>
      </c>
      <c r="D9" s="14" t="n">
        <v>3</v>
      </c>
      <c r="E9" s="14" t="inlineStr">
        <is>
          <t>全部在 Manchester；Lonely Girls Club 伦敦每周都有活动，但没搜到具体日期</t>
        </is>
      </c>
    </row>
    <row r="10">
      <c r="A10" s="14" t="inlineStr">
        <is>
          <t>Green Thumb Circle</t>
        </is>
      </c>
      <c r="B10" s="14" t="inlineStr">
        <is>
          <t>兴趣类</t>
        </is>
      </c>
      <c r="C10" s="14" t="inlineStr">
        <is>
          <t>未搜（用户决定本期不搜）</t>
        </is>
      </c>
      <c r="D10" s="14" t="n">
        <v>0</v>
      </c>
      <c r="E10" s="14" t="inlineStr">
        <is>
          <t>本期到第 9 轮结束</t>
        </is>
      </c>
    </row>
    <row r="11">
      <c r="A11" s="14" t="inlineStr">
        <is>
          <t>Live Music Crew</t>
        </is>
      </c>
      <c r="B11" s="14" t="inlineStr">
        <is>
          <t>兴趣类</t>
        </is>
      </c>
      <c r="C11" s="14" t="inlineStr">
        <is>
          <t>顺带匹配（没专门搜）</t>
        </is>
      </c>
      <c r="D11" s="14" t="n">
        <v>8</v>
      </c>
      <c r="E11" s="14" t="inlineStr">
        <is>
          <t>都来自城市轮顺带（巡演、音乐节、club 活动）；烟花节虽有 DJ，但不算演出，没放进这个群</t>
        </is>
      </c>
    </row>
    <row r="12">
      <c r="A12" s="14" t="inlineStr">
        <is>
          <t>Page Turners Club</t>
        </is>
      </c>
      <c r="B12" s="14" t="inlineStr">
        <is>
          <t>兴趣类</t>
        </is>
      </c>
      <c r="C12" s="14" t="inlineStr">
        <is>
          <t>顺带匹配（没专门搜）</t>
        </is>
      </c>
      <c r="D12" s="14" t="n">
        <v>2</v>
      </c>
      <c r="E12" s="14" t="inlineStr"/>
    </row>
    <row r="13">
      <c r="A13" s="14" t="inlineStr">
        <is>
          <t>Paws UK</t>
        </is>
      </c>
      <c r="B13" s="14" t="inlineStr">
        <is>
          <t>兴趣类</t>
        </is>
      </c>
      <c r="C13" s="14" t="inlineStr">
        <is>
          <t>未搜（用户决定本期不搜）</t>
        </is>
      </c>
      <c r="D13" s="14" t="n">
        <v>0</v>
      </c>
      <c r="E13" s="14" t="inlineStr">
        <is>
          <t>本期到第 9 轮结束</t>
        </is>
      </c>
    </row>
    <row r="14">
      <c r="A14" s="14" t="inlineStr">
        <is>
          <t>Premier Fan Zone</t>
        </is>
      </c>
      <c r="B14" s="14" t="inlineStr">
        <is>
          <t>兴趣类</t>
        </is>
      </c>
      <c r="C14" s="14" t="inlineStr">
        <is>
          <t>未搜（用户决定本期不搜）</t>
        </is>
      </c>
      <c r="D14" s="14" t="n">
        <v>0</v>
      </c>
      <c r="E14" s="14" t="inlineStr">
        <is>
          <t>本期到第 9 轮结束</t>
        </is>
      </c>
    </row>
    <row r="15">
      <c r="A15" s="14" t="inlineStr">
        <is>
          <t>Reel Talk Club</t>
        </is>
      </c>
      <c r="B15" s="14" t="inlineStr">
        <is>
          <t>兴趣类</t>
        </is>
      </c>
      <c r="C15" s="14" t="inlineStr">
        <is>
          <t>顺带匹配（没专门搜）</t>
        </is>
      </c>
      <c r="D15" s="14" t="n">
        <v>5</v>
      </c>
      <c r="E15" s="14" t="inlineStr"/>
    </row>
    <row r="16">
      <c r="A16" s="14" t="inlineStr">
        <is>
          <t>Snack Finds &amp; Picks</t>
        </is>
      </c>
      <c r="B16" s="14" t="inlineStr">
        <is>
          <t>兴趣类</t>
        </is>
      </c>
      <c r="C16" s="14" t="inlineStr">
        <is>
          <t>顺带匹配（没专门搜）</t>
        </is>
      </c>
      <c r="D16" s="14" t="n">
        <v>1</v>
      </c>
      <c r="E16" s="14" t="inlineStr"/>
    </row>
    <row r="17">
      <c r="A17" s="14" t="inlineStr">
        <is>
          <t>Outdoor Adventure Club</t>
        </is>
      </c>
      <c r="B17" s="14" t="inlineStr">
        <is>
          <t>兴趣类</t>
        </is>
      </c>
      <c r="C17" s="14" t="inlineStr">
        <is>
          <t>未搜（用户决定本期不搜）</t>
        </is>
      </c>
      <c r="D17" s="14" t="n">
        <v>0</v>
      </c>
      <c r="E17" s="14" t="inlineStr">
        <is>
          <t>本期到第 9 轮结束</t>
        </is>
      </c>
    </row>
    <row r="18">
      <c r="A18" s="14" t="inlineStr">
        <is>
          <t>Swim Wave Tribe</t>
        </is>
      </c>
      <c r="B18" s="14" t="inlineStr">
        <is>
          <t>兴趣类</t>
        </is>
      </c>
      <c r="C18" s="14" t="inlineStr">
        <is>
          <t>第1轮 已搜/有结果（弱）</t>
        </is>
      </c>
      <c r="D18" s="14" t="n">
        <v>1</v>
      </c>
      <c r="E18" s="14" t="inlineStr">
        <is>
          <t>10–11 月户外游泳是淡季（全国赛在 7 月、冷水锦标赛在 1 月）；findarace 11 月没有公开水域赛；未达 3–5 条</t>
        </is>
      </c>
    </row>
    <row r="19">
      <c r="A19" s="14" t="inlineStr">
        <is>
          <t>Tennis Rally Crew</t>
        </is>
      </c>
      <c r="B19" s="14" t="inlineStr">
        <is>
          <t>兴趣类</t>
        </is>
      </c>
      <c r="C19" s="14" t="inlineStr">
        <is>
          <t>未搜（用户决定本期不搜）</t>
        </is>
      </c>
      <c r="D19" s="14" t="n">
        <v>0</v>
      </c>
      <c r="E19" s="14" t="inlineStr">
        <is>
          <t>本期到第 9 轮结束</t>
        </is>
      </c>
    </row>
    <row r="20">
      <c r="A20" s="14" t="inlineStr">
        <is>
          <t>UK Food Lovers</t>
        </is>
      </c>
      <c r="B20" s="14" t="inlineStr">
        <is>
          <t>兴趣类</t>
        </is>
      </c>
      <c r="C20" s="14" t="inlineStr">
        <is>
          <t>顺带匹配（没专门搜）</t>
        </is>
      </c>
      <c r="D20" s="14" t="n">
        <v>2</v>
      </c>
      <c r="E20" s="14" t="inlineStr"/>
    </row>
    <row r="21">
      <c r="A21" s="14" t="inlineStr">
        <is>
          <t>Valorant Riot Crew</t>
        </is>
      </c>
      <c r="B21" s="14" t="inlineStr">
        <is>
          <t>兴趣类</t>
        </is>
      </c>
      <c r="C21" s="14" t="inlineStr">
        <is>
          <t>第1轮 已搜/有结果</t>
        </is>
      </c>
      <c r="D21" s="14" t="n">
        <v>1</v>
      </c>
      <c r="E21" s="14" t="inlineStr">
        <is>
          <t>EPIC49 有 VALORANT 锦标赛（赛事列表已确认）；Champions 总决赛（10/18，上海）没搜到英国线下观赛点；未达 3–5 条</t>
        </is>
      </c>
    </row>
    <row r="22">
      <c r="A22" s="14" t="inlineStr">
        <is>
          <t>Vintage Vibe Crew</t>
        </is>
      </c>
      <c r="B22" s="14" t="inlineStr">
        <is>
          <t>兴趣类</t>
        </is>
      </c>
      <c r="C22" s="14" t="inlineStr">
        <is>
          <t>未搜（用户决定本期不搜）</t>
        </is>
      </c>
      <c r="D22" s="14" t="n">
        <v>0</v>
      </c>
      <c r="E22" s="14" t="inlineStr">
        <is>
          <t>本期到第 9 轮结束</t>
        </is>
      </c>
    </row>
    <row r="23">
      <c r="A23" s="14" t="inlineStr">
        <is>
          <t>Walking Buddies</t>
        </is>
      </c>
      <c r="B23" s="14" t="inlineStr">
        <is>
          <t>兴趣类</t>
        </is>
      </c>
      <c r="C23" s="14" t="inlineStr">
        <is>
          <t>未搜（用户决定本期不搜）</t>
        </is>
      </c>
      <c r="D23" s="14" t="n">
        <v>0</v>
      </c>
      <c r="E23" s="14" t="inlineStr">
        <is>
          <t>本期到第 9 轮结束</t>
        </is>
      </c>
    </row>
    <row r="24">
      <c r="A24" s="14" t="inlineStr">
        <is>
          <t>UCL Hub</t>
        </is>
      </c>
      <c r="B24" s="14" t="inlineStr">
        <is>
          <t>大学类</t>
        </is>
      </c>
      <c r="C24" s="14" t="inlineStr">
        <is>
          <t>第2轮 已搜/有结果</t>
        </is>
      </c>
      <c r="D24" s="14" t="n">
        <v>6</v>
      </c>
      <c r="E24" s="14" t="inlineStr">
        <is>
          <t>伦敦同城共用一次搜索，表里合并成"伦敦6校"一行</t>
        </is>
      </c>
    </row>
    <row r="25">
      <c r="A25" s="14" t="inlineStr">
        <is>
          <t>IC Collective</t>
        </is>
      </c>
      <c r="B25" s="14" t="inlineStr">
        <is>
          <t>大学类</t>
        </is>
      </c>
      <c r="C25" s="14" t="inlineStr">
        <is>
          <t>第2轮 已搜/有结果</t>
        </is>
      </c>
      <c r="D25" s="14" t="n">
        <v>6</v>
      </c>
      <c r="E25" s="14" t="inlineStr">
        <is>
          <t>伦敦同城共用一次搜索，表里合并成"伦敦6校"一行</t>
        </is>
      </c>
    </row>
    <row r="26">
      <c r="A26" s="14" t="inlineStr">
        <is>
          <t>University of St Andrews</t>
        </is>
      </c>
      <c r="B26" s="14" t="inlineStr">
        <is>
          <t>大学类</t>
        </is>
      </c>
      <c r="C26" s="14" t="inlineStr">
        <is>
          <t>第9轮 已搜/有结果</t>
        </is>
      </c>
      <c r="D26" s="14" t="n">
        <v>4</v>
      </c>
      <c r="E26" s="14" t="inlineStr">
        <is>
          <t>Big Hoolie（圣安德鲁日）在 11/28，不在窗口内；St Andrews Voices 节 2024 年后没看到还在办</t>
        </is>
      </c>
    </row>
    <row r="27">
      <c r="A27" s="14" t="inlineStr">
        <is>
          <t>Glasgow City College</t>
        </is>
      </c>
      <c r="B27" s="14" t="inlineStr">
        <is>
          <t>大学类</t>
        </is>
      </c>
      <c r="C27" s="14" t="inlineStr">
        <is>
          <t>第4轮 已搜/有结果</t>
        </is>
      </c>
      <c r="D27" s="14" t="n">
        <v>3</v>
      </c>
      <c r="E27" s="14" t="inlineStr">
        <is>
          <t>格拉斯哥同城共用；Glasgow Green 烟花没收录：搜到的"Mon 5 Nov"是 2018 年的旧页面，而且当地媒体说篝火夜活动已暂停</t>
        </is>
      </c>
    </row>
    <row r="28">
      <c r="A28" s="14" t="inlineStr">
        <is>
          <t>University of West of Scotland</t>
        </is>
      </c>
      <c r="B28" s="14" t="inlineStr">
        <is>
          <t>大学类</t>
        </is>
      </c>
      <c r="C28" s="14" t="inlineStr">
        <is>
          <t>第9轮 已搜/有结果</t>
        </is>
      </c>
      <c r="D28" s="14" t="n">
        <v>2</v>
      </c>
      <c r="E28" s="14" t="inlineStr">
        <is>
          <t>未达 3–5 条：只搜了 Paisley 校区；Ayr、Lanarkshire、Dumfries 校区没单独搜</t>
        </is>
      </c>
    </row>
    <row r="29">
      <c r="A29" s="14" t="inlineStr">
        <is>
          <t>Glasgow Caledonian University</t>
        </is>
      </c>
      <c r="B29" s="14" t="inlineStr">
        <is>
          <t>大学类</t>
        </is>
      </c>
      <c r="C29" s="14" t="inlineStr">
        <is>
          <t>第4轮 已搜/有结果</t>
        </is>
      </c>
      <c r="D29" s="14" t="n">
        <v>3</v>
      </c>
      <c r="E29" s="14" t="inlineStr">
        <is>
          <t>格拉斯哥同城共用；Glasgow Green 烟花没收录：搜到的"Mon 5 Nov"是 2018 年的旧页面，而且当地媒体说篝火夜活动已暂停</t>
        </is>
      </c>
    </row>
    <row r="30">
      <c r="A30" s="14" t="inlineStr">
        <is>
          <t>Heriot-Watt University</t>
        </is>
      </c>
      <c r="B30" s="14" t="inlineStr">
        <is>
          <t>大学类</t>
        </is>
      </c>
      <c r="C30" s="14" t="inlineStr">
        <is>
          <t>第4轮 已搜/有结果</t>
        </is>
      </c>
      <c r="D30" s="14" t="n">
        <v>3</v>
      </c>
      <c r="E30" s="14" t="inlineStr">
        <is>
          <t>爱丁堡同城共用；Samhuinn 火节（10/31）已售罄没收录；Meadowbank 烟花 2017 年起就停办了；Skerryvore 演出票价从 £115 起，太贵，没收录</t>
        </is>
      </c>
    </row>
    <row r="31">
      <c r="A31" s="14" t="inlineStr">
        <is>
          <t>Royal College of Art</t>
        </is>
      </c>
      <c r="B31" s="14" t="inlineStr">
        <is>
          <t>大学类</t>
        </is>
      </c>
      <c r="C31" s="14" t="inlineStr">
        <is>
          <t>第2轮 已搜/有结果</t>
        </is>
      </c>
      <c r="D31" s="14" t="n">
        <v>6</v>
      </c>
      <c r="E31" s="14" t="inlineStr">
        <is>
          <t>伦敦同城共用一次搜索，表里合并成"伦敦6校"一行</t>
        </is>
      </c>
    </row>
    <row r="32">
      <c r="A32" s="14" t="inlineStr">
        <is>
          <t>Coventry Fresher Hub 2026</t>
        </is>
      </c>
      <c r="B32" s="14" t="inlineStr">
        <is>
          <t>大学类</t>
        </is>
      </c>
      <c r="C32" s="14" t="inlineStr">
        <is>
          <t>未搜（用户决定本期不搜）</t>
        </is>
      </c>
      <c r="D32" s="14" t="n">
        <v>0</v>
      </c>
      <c r="E32" s="14" t="inlineStr">
        <is>
          <t>本期到第 9 轮结束</t>
        </is>
      </c>
    </row>
    <row r="33">
      <c r="A33" s="14" t="inlineStr">
        <is>
          <t>University of Stirling</t>
        </is>
      </c>
      <c r="B33" s="14" t="inlineStr">
        <is>
          <t>大学类</t>
        </is>
      </c>
      <c r="C33" s="14" t="inlineStr">
        <is>
          <t>第9轮 已搜/有结果</t>
        </is>
      </c>
      <c r="D33" s="14" t="n">
        <v>3</v>
      </c>
      <c r="E33" s="14" t="inlineStr"/>
    </row>
    <row r="34">
      <c r="A34" s="14" t="inlineStr">
        <is>
          <t>BCU Fresher Hub 2026</t>
        </is>
      </c>
      <c r="B34" s="14" t="inlineStr">
        <is>
          <t>大学类</t>
        </is>
      </c>
      <c r="C34" s="14" t="inlineStr">
        <is>
          <t>第3轮 已搜/有结果</t>
        </is>
      </c>
      <c r="D34" s="14" t="n">
        <v>3</v>
      </c>
      <c r="E34" s="14" t="inlineStr">
        <is>
          <t>伯明翰同城共用；第4轮顺带补了 Skindred 伯明翰站；BCLM 万圣节夜日期对不上（搜到的是 2021 年页面），Moseley 烟花已售罄</t>
        </is>
      </c>
    </row>
    <row r="35">
      <c r="A35" s="14" t="inlineStr">
        <is>
          <t>Aston Fresher Hub 2026</t>
        </is>
      </c>
      <c r="B35" s="14" t="inlineStr">
        <is>
          <t>大学类</t>
        </is>
      </c>
      <c r="C35" s="14" t="inlineStr">
        <is>
          <t>第3轮 已搜/有结果</t>
        </is>
      </c>
      <c r="D35" s="14" t="n">
        <v>3</v>
      </c>
      <c r="E35" s="14" t="inlineStr">
        <is>
          <t>伯明翰同城共用；第4轮顺带补了 Skindred 伯明翰站；BCLM 万圣节夜日期对不上（搜到的是 2021 年页面），Moseley 烟花已售罄</t>
        </is>
      </c>
    </row>
    <row r="36">
      <c r="A36" s="14" t="inlineStr">
        <is>
          <t>Wolverhampton Freshers Hub 2026</t>
        </is>
      </c>
      <c r="B36" s="14" t="inlineStr">
        <is>
          <t>大学类</t>
        </is>
      </c>
      <c r="C36" s="14" t="inlineStr">
        <is>
          <t>顺带匹配（没专门搜）</t>
        </is>
      </c>
      <c r="D36" s="14" t="n">
        <v>1</v>
      </c>
      <c r="E36" s="14" t="inlineStr"/>
    </row>
    <row r="37">
      <c r="A37" s="14" t="inlineStr">
        <is>
          <t>Walsall Freshers Hub 2026</t>
        </is>
      </c>
      <c r="B37" s="14" t="inlineStr">
        <is>
          <t>大学类</t>
        </is>
      </c>
      <c r="C37" s="14" t="inlineStr">
        <is>
          <t>未搜（用户决定本期不搜）</t>
        </is>
      </c>
      <c r="D37" s="14" t="n">
        <v>0</v>
      </c>
      <c r="E37" s="14" t="inlineStr">
        <is>
          <t>本期到第 9 轮结束</t>
        </is>
      </c>
    </row>
    <row r="38">
      <c r="A38" s="14" t="inlineStr">
        <is>
          <t>Sheffield Hallam University</t>
        </is>
      </c>
      <c r="B38" s="14" t="inlineStr">
        <is>
          <t>大学类</t>
        </is>
      </c>
      <c r="C38" s="14" t="inlineStr">
        <is>
          <t>第6轮 已搜/有结果</t>
        </is>
      </c>
      <c r="D38" s="14" t="n">
        <v>3</v>
      </c>
      <c r="E38" s="14" t="inlineStr">
        <is>
          <t>谢菲尔德同城共用；DocFest 在 6 月，不在窗口内</t>
        </is>
      </c>
    </row>
    <row r="39">
      <c r="A39" s="14" t="inlineStr">
        <is>
          <t>University of Sheffield</t>
        </is>
      </c>
      <c r="B39" s="14" t="inlineStr">
        <is>
          <t>大学类</t>
        </is>
      </c>
      <c r="C39" s="14" t="inlineStr">
        <is>
          <t>第6轮 已搜/有结果</t>
        </is>
      </c>
      <c r="D39" s="14" t="n">
        <v>3</v>
      </c>
      <c r="E39" s="14" t="inlineStr">
        <is>
          <t>谢菲尔德同城共用；DocFest 在 6 月，不在窗口内</t>
        </is>
      </c>
    </row>
    <row r="40">
      <c r="A40" s="14" t="inlineStr">
        <is>
          <t>St Mary's University, Twickenham</t>
        </is>
      </c>
      <c r="B40" s="14" t="inlineStr">
        <is>
          <t>大学类</t>
        </is>
      </c>
      <c r="C40" s="14" t="inlineStr">
        <is>
          <t>第2轮 已搜/有结果</t>
        </is>
      </c>
      <c r="D40" s="14" t="n">
        <v>4</v>
      </c>
      <c r="E40" s="14" t="inlineStr">
        <is>
          <t>Richmond 烟花日期待核实</t>
        </is>
      </c>
    </row>
    <row r="41">
      <c r="A41" s="14" t="inlineStr">
        <is>
          <t>King's College London</t>
        </is>
      </c>
      <c r="B41" s="14" t="inlineStr">
        <is>
          <t>大学类</t>
        </is>
      </c>
      <c r="C41" s="14" t="inlineStr">
        <is>
          <t>第2轮 已搜/有结果</t>
        </is>
      </c>
      <c r="D41" s="14" t="n">
        <v>6</v>
      </c>
      <c r="E41" s="14" t="inlineStr">
        <is>
          <t>伦敦同城共用一次搜索，表里合并成"伦敦6校"一行</t>
        </is>
      </c>
    </row>
    <row r="42">
      <c r="A42" s="14" t="inlineStr">
        <is>
          <t>London School of Economics</t>
        </is>
      </c>
      <c r="B42" s="14" t="inlineStr">
        <is>
          <t>大学类</t>
        </is>
      </c>
      <c r="C42" s="14" t="inlineStr">
        <is>
          <t>第2轮 已搜/有结果</t>
        </is>
      </c>
      <c r="D42" s="14" t="n">
        <v>6</v>
      </c>
      <c r="E42" s="14" t="inlineStr">
        <is>
          <t>伦敦同城共用一次搜索，表里合并成"伦敦6校"一行</t>
        </is>
      </c>
    </row>
    <row r="43">
      <c r="A43" s="14" t="inlineStr">
        <is>
          <t>Queen Mary University of London</t>
        </is>
      </c>
      <c r="B43" s="14" t="inlineStr">
        <is>
          <t>大学类</t>
        </is>
      </c>
      <c r="C43" s="14" t="inlineStr">
        <is>
          <t>第2轮 已搜/有结果</t>
        </is>
      </c>
      <c r="D43" s="14" t="n">
        <v>6</v>
      </c>
      <c r="E43" s="14" t="inlineStr">
        <is>
          <t>伦敦同城共用一次搜索，表里合并成"伦敦6校"一行</t>
        </is>
      </c>
    </row>
    <row r="44">
      <c r="A44" s="14" t="inlineStr">
        <is>
          <t>University of Lancashire</t>
        </is>
      </c>
      <c r="B44" s="14" t="inlineStr">
        <is>
          <t>大学类</t>
        </is>
      </c>
      <c r="C44" s="14" t="inlineStr">
        <is>
          <t>第7轮 已搜/无结果</t>
        </is>
      </c>
      <c r="D44" s="14" t="n">
        <v>0</v>
      </c>
      <c r="E44" s="14" t="inlineStr">
        <is>
          <t>Preston 窗口期内没找到确认过的活动：圣诞亮灯的"Sat 22 Nov"是 2025 年的日期，而且不在窗口内；Guild Hall 还在关闭中；53 Degrees 只找到 10/10 的演出，不在窗口内</t>
        </is>
      </c>
    </row>
    <row r="45">
      <c r="A45" s="14" t="inlineStr">
        <is>
          <t>University of Lancaster</t>
        </is>
      </c>
      <c r="B45" s="14" t="inlineStr">
        <is>
          <t>大学类</t>
        </is>
      </c>
      <c r="C45" s="14" t="inlineStr">
        <is>
          <t>第7轮 已搜/有结果</t>
        </is>
      </c>
      <c r="D45" s="14" t="n">
        <v>2</v>
      </c>
      <c r="E45" s="14" t="inlineStr">
        <is>
          <t>未达 3–5 条：搜到的 Lancaster 酒吧巡游和 Woman in Black 都是美国宾州 Lancaster 的，没收录</t>
        </is>
      </c>
    </row>
    <row r="46">
      <c r="A46" s="14" t="inlineStr">
        <is>
          <t>University of Chester</t>
        </is>
      </c>
      <c r="B46" s="14" t="inlineStr">
        <is>
          <t>大学类</t>
        </is>
      </c>
      <c r="C46" s="14" t="inlineStr">
        <is>
          <t>第7轮 已搜/有结果</t>
        </is>
      </c>
      <c r="D46" s="14" t="n">
        <v>1</v>
      </c>
      <c r="E46" s="14" t="inlineStr">
        <is>
          <t>未达 3–5 条：圣诞市集 11/18 才开，不在窗口内</t>
        </is>
      </c>
    </row>
    <row r="47">
      <c r="A47" s="14" t="inlineStr">
        <is>
          <t>University of Strathclyde</t>
        </is>
      </c>
      <c r="B47" s="14" t="inlineStr">
        <is>
          <t>大学类</t>
        </is>
      </c>
      <c r="C47" s="14" t="inlineStr">
        <is>
          <t>第4轮 已搜/有结果</t>
        </is>
      </c>
      <c r="D47" s="14" t="n">
        <v>3</v>
      </c>
      <c r="E47" s="14" t="inlineStr">
        <is>
          <t>格拉斯哥同城共用；Glasgow Green 烟花没收录：搜到的"Mon 5 Nov"是 2018 年的旧页面，而且当地媒体说篝火夜活动已暂停</t>
        </is>
      </c>
    </row>
    <row r="48">
      <c r="A48" s="14" t="inlineStr">
        <is>
          <t>The University of Manchester</t>
        </is>
      </c>
      <c r="B48" s="14" t="inlineStr">
        <is>
          <t>大学类</t>
        </is>
      </c>
      <c r="C48" s="14" t="inlineStr">
        <is>
          <t>第7轮 已搜/有结果</t>
        </is>
      </c>
      <c r="D48" s="14" t="n">
        <v>6</v>
      </c>
      <c r="E48" s="14" t="inlineStr">
        <is>
          <t>包含第1轮的 3 条女性向活动；Project Halloween（Fatsoma）用了模板宣传语，没收录</t>
        </is>
      </c>
    </row>
    <row r="49">
      <c r="A49" s="14" t="inlineStr">
        <is>
          <t>Newcastle university</t>
        </is>
      </c>
      <c r="B49" s="14" t="inlineStr">
        <is>
          <t>大学类</t>
        </is>
      </c>
      <c r="C49" s="14" t="inlineStr">
        <is>
          <t>第5轮 已搜/有结果</t>
        </is>
      </c>
      <c r="D49" s="14" t="n">
        <v>4</v>
      </c>
      <c r="E49" s="14" t="inlineStr">
        <is>
          <t>纽卡斯尔同城共用，两个群内容完全一样；圣诞市集 11/19 才开，不在窗口内</t>
        </is>
      </c>
    </row>
    <row r="50">
      <c r="A50" s="14" t="inlineStr">
        <is>
          <t>Newcastle university 2</t>
        </is>
      </c>
      <c r="B50" s="14" t="inlineStr">
        <is>
          <t>大学类</t>
        </is>
      </c>
      <c r="C50" s="14" t="inlineStr">
        <is>
          <t>第5轮 已搜/有结果</t>
        </is>
      </c>
      <c r="D50" s="14" t="n">
        <v>4</v>
      </c>
      <c r="E50" s="14" t="inlineStr">
        <is>
          <t>纽卡斯尔同城共用，两个群内容完全一样；圣诞市集 11/19 才开，不在窗口内</t>
        </is>
      </c>
    </row>
    <row r="51">
      <c r="A51" s="14" t="inlineStr">
        <is>
          <t>Northumbria university</t>
        </is>
      </c>
      <c r="B51" s="14" t="inlineStr">
        <is>
          <t>大学类</t>
        </is>
      </c>
      <c r="C51" s="14" t="inlineStr">
        <is>
          <t>第5轮 已搜/有结果</t>
        </is>
      </c>
      <c r="D51" s="14" t="n">
        <v>4</v>
      </c>
      <c r="E51" s="14" t="inlineStr">
        <is>
          <t>纽卡斯尔同城共用，两个群内容完全一样；圣诞市集 11/19 才开，不在窗口内</t>
        </is>
      </c>
    </row>
    <row r="52">
      <c r="A52" s="14" t="inlineStr">
        <is>
          <t>Durham university</t>
        </is>
      </c>
      <c r="B52" s="14" t="inlineStr">
        <is>
          <t>大学类</t>
        </is>
      </c>
      <c r="C52" s="14" t="inlineStr">
        <is>
          <t>第5轮 已搜/有结果</t>
        </is>
      </c>
      <c r="D52" s="14" t="n">
        <v>2</v>
      </c>
      <c r="E52" s="14" t="inlineStr">
        <is>
          <t>未达 3–5 条：Lumiere 灯光节 2025 年已停办；Durham Book Festival 在 10/9–11，不在窗口内；Hardwick Hall 烟花的 2026 年日期没确认</t>
        </is>
      </c>
    </row>
    <row r="53">
      <c r="A53" s="14" t="inlineStr">
        <is>
          <t>university of york student hub</t>
        </is>
      </c>
      <c r="B53" s="14" t="inlineStr">
        <is>
          <t>大学类</t>
        </is>
      </c>
      <c r="C53" s="14" t="inlineStr">
        <is>
          <t>未搜（用户决定本期不搜）</t>
        </is>
      </c>
      <c r="D53" s="14" t="n">
        <v>0</v>
      </c>
      <c r="E53" s="14" t="inlineStr">
        <is>
          <t>本期到第 9 轮结束</t>
        </is>
      </c>
    </row>
    <row r="54">
      <c r="A54" s="14" t="inlineStr">
        <is>
          <t>Leeds Uni Student Hub</t>
        </is>
      </c>
      <c r="B54" s="14" t="inlineStr">
        <is>
          <t>大学类</t>
        </is>
      </c>
      <c r="C54" s="14" t="inlineStr">
        <is>
          <t>第6轮 已搜/有结果</t>
        </is>
      </c>
      <c r="D54" s="14" t="n">
        <v>3</v>
      </c>
      <c r="E54" s="14" t="inlineStr">
        <is>
          <t>利兹同城共用，两个群内容完全一样；Roundhay Park 等 6 个市政篝火已被市议会决定停办</t>
        </is>
      </c>
    </row>
    <row r="55">
      <c r="A55" s="14" t="inlineStr">
        <is>
          <t>Leeds University group 2</t>
        </is>
      </c>
      <c r="B55" s="14" t="inlineStr">
        <is>
          <t>大学类</t>
        </is>
      </c>
      <c r="C55" s="14" t="inlineStr">
        <is>
          <t>第6轮 已搜/有结果</t>
        </is>
      </c>
      <c r="D55" s="14" t="n">
        <v>3</v>
      </c>
      <c r="E55" s="14" t="inlineStr">
        <is>
          <t>利兹同城共用，两个群内容完全一样；Roundhay Park 等 6 个市政篝火已被市议会决定停办</t>
        </is>
      </c>
    </row>
    <row r="56">
      <c r="A56" s="14" t="inlineStr">
        <is>
          <t>Huddersfield Uni Student Hub</t>
        </is>
      </c>
      <c r="B56" s="14" t="inlineStr">
        <is>
          <t>大学类</t>
        </is>
      </c>
      <c r="C56" s="14" t="inlineStr">
        <is>
          <t>第6轮 已搜/有结果</t>
        </is>
      </c>
      <c r="D56" s="14" t="n">
        <v>2</v>
      </c>
      <c r="E56" s="14" t="inlineStr">
        <is>
          <t>未达 3–5 条：hcmf// 当代音乐节在 11/20–29，不在窗口内；学生会官网只能看到 9 月的活动</t>
        </is>
      </c>
    </row>
    <row r="57">
      <c r="A57" s="14" t="inlineStr">
        <is>
          <t>Hull Uni Student Hub</t>
        </is>
      </c>
      <c r="B57" s="14" t="inlineStr">
        <is>
          <t>大学类</t>
        </is>
      </c>
      <c r="C57" s="14" t="inlineStr">
        <is>
          <t>未搜（用户决定本期不搜）</t>
        </is>
      </c>
      <c r="D57" s="14" t="n">
        <v>0</v>
      </c>
      <c r="E57" s="14" t="inlineStr">
        <is>
          <t>本期到第 9 轮结束</t>
        </is>
      </c>
    </row>
    <row r="58">
      <c r="A58" s="14" t="inlineStr">
        <is>
          <t>University of Leicester</t>
        </is>
      </c>
      <c r="B58" s="14" t="inlineStr">
        <is>
          <t>大学类</t>
        </is>
      </c>
      <c r="C58" s="14" t="inlineStr">
        <is>
          <t>未搜（用户决定本期不搜）</t>
        </is>
      </c>
      <c r="D58" s="14" t="n">
        <v>0</v>
      </c>
      <c r="E58" s="14" t="inlineStr">
        <is>
          <t>本期到第 9 轮结束</t>
        </is>
      </c>
    </row>
    <row r="59">
      <c r="A59" s="14" t="inlineStr">
        <is>
          <t>Staffs Student Life | Stoke</t>
        </is>
      </c>
      <c r="B59" s="14" t="inlineStr">
        <is>
          <t>大学类</t>
        </is>
      </c>
      <c r="C59" s="14" t="inlineStr">
        <is>
          <t>第8轮 已搜/有结果</t>
        </is>
      </c>
      <c r="D59" s="14" t="n">
        <v>3</v>
      </c>
      <c r="E59" s="14" t="inlineStr">
        <is>
          <t>斯托克同城共用；Keele 在 Newcastle-under-Lyme，Trentham 离得最近</t>
        </is>
      </c>
    </row>
    <row r="60">
      <c r="A60" s="14" t="inlineStr">
        <is>
          <t>Keele Campus Life</t>
        </is>
      </c>
      <c r="B60" s="14" t="inlineStr">
        <is>
          <t>大学类</t>
        </is>
      </c>
      <c r="C60" s="14" t="inlineStr">
        <is>
          <t>第8轮 已搜/有结果</t>
        </is>
      </c>
      <c r="D60" s="14" t="n">
        <v>3</v>
      </c>
      <c r="E60" s="14" t="inlineStr">
        <is>
          <t>斯托克同城共用；Keele 在 Newcastle-under-Lyme，Trentham 离得最近</t>
        </is>
      </c>
    </row>
    <row r="61">
      <c r="A61" s="14" t="inlineStr">
        <is>
          <t>Harper Adams Campus Life</t>
        </is>
      </c>
      <c r="B61" s="14" t="inlineStr">
        <is>
          <t>大学类</t>
        </is>
      </c>
      <c r="C61" s="14" t="inlineStr">
        <is>
          <t>顺带匹配（没专门搜）</t>
        </is>
      </c>
      <c r="D61" s="14" t="n">
        <v>1</v>
      </c>
      <c r="E61" s="14" t="inlineStr"/>
    </row>
    <row r="62">
      <c r="A62" s="14" t="inlineStr">
        <is>
          <t>SCCB| Birmingham Student Life</t>
        </is>
      </c>
      <c r="B62" s="14" t="inlineStr">
        <is>
          <t>大学类</t>
        </is>
      </c>
      <c r="C62" s="14" t="inlineStr">
        <is>
          <t>第3轮 已搜/有结果</t>
        </is>
      </c>
      <c r="D62" s="14" t="n">
        <v>3</v>
      </c>
      <c r="E62" s="14" t="inlineStr">
        <is>
          <t>伯明翰同城共用；第4轮顺带补了 Skindred 伯明翰站；BCLM 万圣节夜日期对不上（搜到的是 2021 年页面），Moseley 烟花已售罄</t>
        </is>
      </c>
    </row>
    <row r="63">
      <c r="A63" s="14" t="inlineStr">
        <is>
          <t>University of Cardiff</t>
        </is>
      </c>
      <c r="B63" s="14" t="inlineStr">
        <is>
          <t>大学类</t>
        </is>
      </c>
      <c r="C63" s="14" t="inlineStr">
        <is>
          <t>第8轮 已搜/有结果</t>
        </is>
      </c>
      <c r="D63" s="14" t="n">
        <v>6</v>
      </c>
      <c r="E63" s="14" t="inlineStr">
        <is>
          <t>卡迪夫同城共用；两场橄榄球票价偏高，已标注</t>
        </is>
      </c>
    </row>
    <row r="64">
      <c r="A64" s="14" t="inlineStr">
        <is>
          <t>Cardiff Metropolitan University</t>
        </is>
      </c>
      <c r="B64" s="14" t="inlineStr">
        <is>
          <t>大学类</t>
        </is>
      </c>
      <c r="C64" s="14" t="inlineStr">
        <is>
          <t>第8轮 已搜/有结果</t>
        </is>
      </c>
      <c r="D64" s="14" t="n">
        <v>6</v>
      </c>
      <c r="E64" s="14" t="inlineStr">
        <is>
          <t>卡迪夫同城共用；两场橄榄球票价偏高，已标注</t>
        </is>
      </c>
    </row>
    <row r="65">
      <c r="A65" s="14" t="inlineStr">
        <is>
          <t>University of Edinburgh Freshers 2026</t>
        </is>
      </c>
      <c r="B65" s="14" t="inlineStr">
        <is>
          <t>大学类</t>
        </is>
      </c>
      <c r="C65" s="14" t="inlineStr">
        <is>
          <t>第4轮 已搜/有结果</t>
        </is>
      </c>
      <c r="D65" s="14" t="n">
        <v>3</v>
      </c>
      <c r="E65" s="14" t="inlineStr">
        <is>
          <t>爱丁堡同城共用；Samhuinn 火节（10/31）已售罄没收录；Meadowbank 烟花 2017 年起就停办了；Skerryvore 演出票价从 £115 起，太贵，没收录</t>
        </is>
      </c>
    </row>
    <row r="66">
      <c r="A66" s="14" t="inlineStr">
        <is>
          <t>University of Aberdeen Freshers 2026</t>
        </is>
      </c>
      <c r="B66" s="14" t="inlineStr">
        <is>
          <t>大学类</t>
        </is>
      </c>
      <c r="C66" s="14" t="inlineStr">
        <is>
          <t>第9轮 已搜/有结果</t>
        </is>
      </c>
      <c r="D66" s="14" t="n">
        <v>3</v>
      </c>
      <c r="E66" s="14" t="inlineStr">
        <is>
          <t>海滩烟花 2026 年的官方公告还没看到</t>
        </is>
      </c>
    </row>
  </sheetData>
  <autoFilter ref="A1:E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2" t="inlineStr">
        <is>
          <t>类型</t>
        </is>
      </c>
      <c r="B1" s="12" t="inlineStr">
        <is>
          <t>内容</t>
        </is>
      </c>
    </row>
    <row r="2">
      <c r="A2" s="14" t="inlineStr">
        <is>
          <t>图片</t>
        </is>
      </c>
      <c r="B2" s="14" t="inlineStr">
        <is>
          <t>所有行都没配图：WebFetch 和 curl 都被出站代理拦了（nse.gg 实测 EGRESS_BLOCKED），只有 WebSearch 能用，拿不到图片直链。沿用交接文档的结论，留到本地 Claude Code 补</t>
        </is>
      </c>
    </row>
    <row r="3">
      <c r="A3" s="14" t="inlineStr">
        <is>
          <t>日期待核实</t>
        </is>
      </c>
      <c r="B3" s="14" t="inlineStr">
        <is>
          <t>Richmond Family Fireworks：一个来源写 1 Nov，另一个写 5–7 Nov 2026</t>
        </is>
      </c>
    </row>
    <row r="4">
      <c r="A4" s="14" t="inlineStr">
        <is>
          <t>日期对不上→没收录</t>
        </is>
      </c>
      <c r="B4" s="14" t="inlineStr">
        <is>
          <t>Black Country Living Museum Halloween Nights：搜到的"Sat 23 / Fri 29 / Sat 30 Oct"星期几和 2026 年对不上，跟 2021 年吻合，是旧页面；2026 年日期没确认，所以没收录</t>
        </is>
      </c>
    </row>
    <row r="5">
      <c r="A5" s="14" t="inlineStr">
        <is>
          <t>已售罄→没收录</t>
        </is>
      </c>
      <c r="B5" s="14" t="inlineStr">
        <is>
          <t>Moseley Rugby Club 慈善烟花（1 Nov，伯明翰）：票已售完，推了也买不到</t>
        </is>
      </c>
    </row>
    <row r="6">
      <c r="A6" s="14" t="inlineStr">
        <is>
          <t>已更正</t>
        </is>
      </c>
      <c r="B6" s="14" t="inlineStr">
        <is>
          <t>EPIC.LAN：之前写的"EPIC48 CS2 30 Oct–1 Nov"不对，EPIC48 其实在 7 月（16–19 Jul，已结束）；10/29–11/1 这届是 EPIC49，有 CS2 和 VALORANT 两项比赛。入场票价没核实</t>
        </is>
      </c>
    </row>
    <row r="7">
      <c r="A7" s="14" t="inlineStr">
        <is>
          <t>信息不全</t>
        </is>
      </c>
      <c r="B7" s="14" t="inlineStr">
        <is>
          <t>Girl Gang Season of the Witch：Pendle 女巫主题徒步的具体日期没搜到</t>
        </is>
      </c>
    </row>
    <row r="8">
      <c r="A8" s="14" t="inlineStr">
        <is>
          <t>信息不全</t>
        </is>
      </c>
      <c r="B8" s="14" t="inlineStr">
        <is>
          <t>Lonely Girls Club 10/27：活动内容和场地还没公布</t>
        </is>
      </c>
    </row>
    <row r="9">
      <c r="A9" s="14" t="inlineStr">
        <is>
          <t>信息不全</t>
        </is>
      </c>
      <c r="B9" s="14" t="inlineStr">
        <is>
          <t>Capernwray Lake Swim：主办方没核实（只在 Outdoor Swimmer 日历上看到）</t>
        </is>
      </c>
    </row>
    <row r="10">
      <c r="A10" s="14" t="inlineStr">
        <is>
          <t>票价偏高</t>
        </is>
      </c>
      <c r="B10" s="14" t="inlineStr">
        <is>
          <t>Frieze London、英格兰橄榄球两场主场赛：对学生偏贵，已在推荐理由里标出</t>
        </is>
      </c>
    </row>
    <row r="11">
      <c r="A11" s="14" t="inlineStr">
        <is>
          <t>没收录（宗教类）</t>
        </is>
      </c>
      <c r="B11" s="14" t="inlineStr">
        <is>
          <t>伯明翰 / Black Country 的 Diwali 活动：按 skill 规则，宗教类活动暂不收录</t>
        </is>
      </c>
    </row>
    <row r="12">
      <c r="A12" s="14" t="inlineStr">
        <is>
          <t>没收录（非线下）</t>
        </is>
      </c>
      <c r="B12" s="14" t="inlineStr">
        <is>
          <t>VALORANT Champions 总决赛（10/18，上海）、LoL 全球总决赛（11/14，纽约）：没搜到确认过的英国线下观赛场，只有线上直播</t>
        </is>
      </c>
    </row>
    <row r="13">
      <c r="A13" s="14" t="inlineStr">
        <is>
          <t>没收录（售罄）</t>
        </is>
      </c>
      <c r="B13" s="14" t="inlineStr">
        <is>
          <t>Samhuinn Fire Festival（爱丁堡 Calton Hill，10/31）：官方票务页显示已售罄，只能排候补</t>
        </is>
      </c>
    </row>
    <row r="14">
      <c r="A14" s="14" t="inlineStr">
        <is>
          <t>日期对不上→没收录</t>
        </is>
      </c>
      <c r="B14" s="14" t="inlineStr">
        <is>
          <t>Glasgow Green 烟花：搜到的"Mon 5 Nov"是 2018 年的旧页面，而且当地媒体说篝火夜活动已暂停</t>
        </is>
      </c>
    </row>
    <row r="15">
      <c r="A15" s="14" t="inlineStr">
        <is>
          <t>日期待核实</t>
        </is>
      </c>
      <c r="B15" s="14" t="inlineStr">
        <is>
          <t>GlasGLOW：起始日有 16 Oct 和 24 Oct 两种说法，表里已标出来</t>
        </is>
      </c>
    </row>
    <row r="16">
      <c r="A16" s="14" t="inlineStr">
        <is>
          <t>票价偏高→没收录</t>
        </is>
      </c>
      <c r="B16" s="14" t="inlineStr">
        <is>
          <t>Skerryvore @ Edinburgh Corn Exchange（11/6）：Ticketmaster 显示从 £115 起</t>
        </is>
      </c>
    </row>
    <row r="17">
      <c r="A17" s="14" t="inlineStr">
        <is>
          <t>已停办</t>
        </is>
      </c>
      <c r="B17" s="14" t="inlineStr">
        <is>
          <t>Durham Lumiere 灯光节：2025 年是最后一届，2026 年没有</t>
        </is>
      </c>
    </row>
    <row r="18">
      <c r="A18" s="14" t="inlineStr">
        <is>
          <t>日期对不上→没收录</t>
        </is>
      </c>
      <c r="B18" s="14" t="inlineStr">
        <is>
          <t>Hardwick Hall 烟花（Sedgefield）：搜到的"Sat 5 / Sun 6 Nov"是 2022 年的日期，2026 年日期没确认</t>
        </is>
      </c>
    </row>
    <row r="19">
      <c r="A19" s="14" t="inlineStr">
        <is>
          <t>日期待核实</t>
        </is>
      </c>
      <c r="B19" s="14" t="inlineStr">
        <is>
          <t>Beamish 万圣节夜场：官网确认有 28 Oct 那一场，整季场次各来源说法不一</t>
        </is>
      </c>
    </row>
    <row r="20">
      <c r="A20" s="14" t="inlineStr">
        <is>
          <t>已停办</t>
        </is>
      </c>
      <c r="B20" s="14" t="inlineStr">
        <is>
          <t>Leeds Roundhay Park 等 6 个市政篝火：市议会已决定停办（Leeds Castle 烟花在肯特郡，跟利兹无关，没收录）</t>
        </is>
      </c>
    </row>
    <row r="21">
      <c r="A21" s="14" t="inlineStr">
        <is>
          <t>日期待核实</t>
        </is>
      </c>
      <c r="B21" s="14" t="inlineStr">
        <is>
          <t>Leadmill Fridays 万圣节特别场：活动页没写年份，推定 30 Oct 2026</t>
        </is>
      </c>
    </row>
    <row r="22">
      <c r="A22" s="14" t="inlineStr">
        <is>
          <t>日期冲突</t>
        </is>
      </c>
      <c r="B22" s="14" t="inlineStr">
        <is>
          <t>LIFF：有来源写 5–22 Nov，主流来源写 29 Oct–15 Nov；两种说法都在窗口内</t>
        </is>
      </c>
    </row>
    <row r="23">
      <c r="A23" s="14" t="inlineStr">
        <is>
          <t>没收录（模板宣传语）</t>
        </is>
      </c>
      <c r="B23" s="14" t="inlineStr">
        <is>
          <t>Project Halloween（Fatsoma，Manchester / Newcastle 两地）："Biggest Halloween Event / 10,000 People"这类宣传语在多个城市的页面上一字不差，按 skill 规则不当作热度依据；也没有其他独立来源</t>
        </is>
      </c>
    </row>
    <row r="24">
      <c r="A24" s="14" t="inlineStr">
        <is>
          <t>社群空缺</t>
        </is>
      </c>
      <c r="B24" s="14" t="inlineStr">
        <is>
          <t>University of Lancashire（Preston）：窗口期内没找到确认过的活动，下轮可以试试兰开夏郡范围或 Blackpool</t>
        </is>
      </c>
    </row>
    <row r="25">
      <c r="A25" s="14" t="inlineStr">
        <is>
          <t>日期待核实</t>
        </is>
      </c>
      <c r="B25" s="14" t="inlineStr">
        <is>
          <t>Aberdeen Fireworks Night：每年固定 5 Nov，但 2026 年的官方公告还没看到</t>
        </is>
      </c>
    </row>
    <row r="26">
      <c r="A26" s="14" t="inlineStr">
        <is>
          <t>已更正</t>
        </is>
      </c>
      <c r="B26" s="14" t="inlineStr">
        <is>
          <t>Core. 音乐节：之前写成"含 Skindred"，其实 Skindred 格拉斯哥站（11/13 Barrowland）是独立巡演，现在拆成两条</t>
        </is>
      </c>
    </row>
    <row r="27">
      <c r="A27" s="14" t="inlineStr">
        <is>
          <t>已更正</t>
        </is>
      </c>
      <c r="B27" s="14" t="inlineStr">
        <is>
          <t>Durham Jazz Festival：之前写"新办"，实际 2025 年创办，今年第二届</t>
        </is>
      </c>
    </row>
    <row r="28">
      <c r="A28" s="14" t="inlineStr">
        <is>
          <t>已更正</t>
        </is>
      </c>
      <c r="B28" s="14" t="inlineStr">
        <is>
          <t>Live Music Crew：去掉了 Ally Pally、Battersea 两个烟花节（有 DJ 但主体是烟花，和 Valorant 群推 CS 内容是同一类错误）</t>
        </is>
      </c>
    </row>
    <row r="29">
      <c r="A29" s="14" t="inlineStr">
        <is>
          <t>已更正</t>
        </is>
      </c>
      <c r="B29" s="14" t="inlineStr">
        <is>
          <t>Briarlands Farm：之前写"Cambusbarron / Craigforth 一带"是猜的，实际在 Blairdrummond, FK9 4UP</t>
        </is>
      </c>
    </row>
    <row r="30">
      <c r="A30" s="14" t="inlineStr">
        <is>
          <t>已更正</t>
        </is>
      </c>
      <c r="B30" s="14" t="inlineStr">
        <is>
          <t>Girl Gang Season of the Witch：整季其实从 22 Sep 开始，不是 4 Oct</t>
        </is>
      </c>
    </row>
    <row r="31">
      <c r="A31" s="14" t="inlineStr">
        <is>
          <t>地址未明</t>
        </is>
      </c>
      <c r="B31" s="14" t="inlineStr">
        <is>
          <t>Lonely Girls Club 10/27：场地报名后才公布；Stoke 万圣节街头派对：只知道在 Hanley 市中心；Aberdeen 烟花：2026 年燃放点还没公布</t>
        </is>
      </c>
    </row>
    <row r="32">
      <c r="A32" s="14" t="inlineStr">
        <is>
          <t>窗口提醒</t>
        </is>
      </c>
      <c r="B32" s="14" t="inlineStr">
        <is>
          <t>BFI 伦敦电影节只有 15–18 Oct 在窗口内；Frieze 在 15–18 Oct，要推得早</t>
        </is>
      </c>
    </row>
  </sheetData>
  <autoFilter ref="A1:B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2026-10-12T07:18:07Z</dcterms:created>
  <dcterms:modified xsi:type="dcterms:W3CDTF">2026-10-12T07:18:07Z</dcterms:modified>
</cp:coreProperties>
</file>