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 B 30天活动" sheetId="1" state="visible" r:id="rId1"/>
    <sheet name="汇总" sheetId="2" state="visible" r:id="rId2"/>
    <sheet name="社群覆盖清单" sheetId="3" state="visible" r:id="rId3"/>
    <sheet name="待核实与缺口" sheetId="4" state="visible" r:id="rId4"/>
  </sheets>
  <definedNames>
    <definedName name="_xlnm._FilterDatabase" localSheetId="0" hidden="1">'Track B 30天活动'!$A$1:$O$126</definedName>
    <definedName name="_xlnm._FilterDatabase" localSheetId="1" hidden="1">'汇总'!$A$1:$B$9</definedName>
    <definedName name="_xlnm._FilterDatabase" localSheetId="2" hidden="1">'社群覆盖清单'!$A$1:$E$76</definedName>
    <definedName name="_xlnm._FilterDatabase" localSheetId="3" hidden="1">'待核实与缺口'!$A$1:$B$13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</font>
  </fonts>
  <fills count="6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E7E6E6"/>
      </patternFill>
    </fill>
    <fill>
      <patternFill patternType="solid">
        <fgColor rgb="00F8CBAD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8" customWidth="1" min="3" max="3"/>
    <col width="30" customWidth="1" min="4" max="4"/>
    <col width="34" customWidth="1" min="5" max="5"/>
    <col width="10" customWidth="1" min="6" max="6"/>
    <col width="22" customWidth="1" min="7" max="7"/>
    <col width="16" customWidth="1" min="8" max="8"/>
    <col width="9" customWidth="1" min="9" max="9"/>
    <col width="34" customWidth="1" min="10" max="10"/>
    <col width="40" customWidth="1" min="11" max="11"/>
    <col width="34" customWidth="1" min="12" max="12"/>
    <col width="30" customWidth="1" min="13" max="13"/>
    <col width="22" customWidth="1" min="14" max="14"/>
    <col width="12" customWidth="1" min="15" max="15"/>
  </cols>
  <sheetData>
    <row r="1" ht="28" customHeight="1">
      <c r="A1" s="1" t="inlineStr">
        <is>
          <t>社群</t>
        </is>
      </c>
      <c r="B1" s="1" t="inlineStr">
        <is>
          <t>图文</t>
        </is>
      </c>
      <c r="C1" s="1" t="inlineStr">
        <is>
          <t>发布文案</t>
        </is>
      </c>
      <c r="D1" s="1" t="inlineStr">
        <is>
          <t>活动名称</t>
        </is>
      </c>
      <c r="E1" s="1" t="inlineStr">
        <is>
          <t>详细地址</t>
        </is>
      </c>
      <c r="F1" s="1" t="inlineStr">
        <is>
          <t>地址质量</t>
        </is>
      </c>
      <c r="G1" s="1" t="inlineStr">
        <is>
          <t>日期</t>
        </is>
      </c>
      <c r="H1" s="1" t="inlineStr">
        <is>
          <t>类目</t>
        </is>
      </c>
      <c r="I1" s="1" t="inlineStr">
        <is>
          <t>热度</t>
        </is>
      </c>
      <c r="J1" s="1" t="inlineStr">
        <is>
          <t>热度依据</t>
        </is>
      </c>
      <c r="K1" s="1" t="inlineStr">
        <is>
          <t>来源链接</t>
        </is>
      </c>
      <c r="L1" s="1" t="inlineStr">
        <is>
          <t>推荐理由</t>
        </is>
      </c>
      <c r="M1" s="1" t="inlineStr">
        <is>
          <t>同一活动也推给</t>
        </is>
      </c>
      <c r="N1" s="1" t="inlineStr">
        <is>
          <t>图片链接</t>
        </is>
      </c>
      <c r="O1" s="1" t="inlineStr">
        <is>
          <t>图片来源分级</t>
        </is>
      </c>
    </row>
    <row r="2" ht="58" customHeight="1">
      <c r="A2" s="2" t="inlineStr">
        <is>
          <t>Birdwatch Brigade</t>
        </is>
      </c>
      <c r="B2" s="3" t="inlineStr">
        <is>
          <t>待制作：Birdwatch Brigade.png</t>
        </is>
      </c>
      <c r="C2" s="4" t="inlineStr">
        <is>
          <t>🔍 Event Radar (UK) — what's worth doing this month.
This month: WINTER BIRDING 👇
🦢 WWT Slimbridge free entry day, Gloucestershire — free entry for the centre's 80th birthday, 10 Nov.
🦢 Swan feeds at WWT Martin Mere, Burscough, Lancashire — up to 2,000 whooper swans (times TBC), daily from Nov.
🐦 Starling murmurations at RSPB Ham Wall, Somerset — the UK's great winter sky show (call the hotline first), from Nov.</t>
        </is>
      </c>
      <c r="D2" s="2" t="inlineStr">
        <is>
          <t>WWT Slimbridge 80 周年免费开放日</t>
        </is>
      </c>
      <c r="E2" s="2" t="inlineStr">
        <is>
          <t>WWT Slimbridge Wetland Centre, Bowditch, Slimbridge, Gloucestershire GL2 7BT</t>
        </is>
      </c>
      <c r="F2" s="2" t="inlineStr">
        <is>
          <t>exact</t>
        </is>
      </c>
      <c r="G2" s="5" t="inlineStr">
        <is>
          <t>10 Nov 2026（周二）</t>
        </is>
      </c>
      <c r="H2" s="5" t="inlineStr">
        <is>
          <t>兴趣类(观鸟)</t>
        </is>
      </c>
      <c r="I2" s="6" t="inlineStr">
        <is>
          <t>中热度</t>
        </is>
      </c>
      <c r="J2" s="5" t="inlineStr">
        <is>
          <t>WWT 官方公告：为庆祝 80 周年，当天免费入场；冬季能看到天鹅和大批水鸟</t>
        </is>
      </c>
      <c r="K2" s="5" t="inlineStr">
        <is>
          <t>https://www.wwt.org.uk/wetland-centres/slimbridge/whats-on</t>
        </is>
      </c>
      <c r="L2" s="5" t="inlineStr">
        <is>
          <t>平时要买票，这天免费；冬候鸟季刚开始</t>
        </is>
      </c>
      <c r="M2" s="5" t="inlineStr">
        <is>
          <t>—</t>
        </is>
      </c>
      <c r="N2" s="5" t="inlineStr">
        <is>
          <t>未取图：云端环境出站被拦（WebFetch EGRESS_BLOCKED），需在本地 Claude Code 补</t>
        </is>
      </c>
      <c r="O2" s="5" t="inlineStr">
        <is>
          <t>未完成</t>
        </is>
      </c>
    </row>
    <row r="3" ht="58" customHeight="1">
      <c r="A3" s="2" t="n"/>
      <c r="B3" s="3" t="n"/>
      <c r="C3" s="4" t="n"/>
      <c r="D3" s="2" t="inlineStr">
        <is>
          <t>WWT Martin Mere 冬季天鹅喂食秀</t>
        </is>
      </c>
      <c r="E3" s="2" t="inlineStr">
        <is>
          <t>WWT Martin Mere Wetland Centre, Fish Lane, Burscough, Lancashire L40 0TA</t>
        </is>
      </c>
      <c r="F3" s="2" t="inlineStr">
        <is>
          <t>exact</t>
        </is>
      </c>
      <c r="G3" s="5" t="inlineStr">
        <is>
          <t>⚠️11 月起每天（往年 15:00、15:30 两场，2026 年时间表还没公布）</t>
        </is>
      </c>
      <c r="H3" s="5" t="inlineStr">
        <is>
          <t>兴趣类(观鸟)</t>
        </is>
      </c>
      <c r="I3" s="7" t="inlineStr">
        <is>
          <t>潜在价值</t>
        </is>
      </c>
      <c r="J3" s="5" t="inlineStr">
        <is>
          <t>WWT 官网往年介绍：最多约 2,000 只大天鹅来吃食；2026 年时间表没找到</t>
        </is>
      </c>
      <c r="K3" s="5" t="inlineStr">
        <is>
          <t>https://www.wwt.org.uk/wetland-centres/martin-mere/news/have-a-wild-winter-at-martin-mere-wetland-centre</t>
        </is>
      </c>
      <c r="L3" s="5" t="inlineStr">
        <is>
          <t>离 Preston 约 25 公里；去之前查一下当天喂食时间</t>
        </is>
      </c>
      <c r="M3" s="5" t="inlineStr">
        <is>
          <t>University of Lancashire</t>
        </is>
      </c>
      <c r="N3" s="5" t="inlineStr">
        <is>
          <t>未取图：云端环境出站被拦（WebFetch EGRESS_BLOCKED），需在本地 Claude Code 补</t>
        </is>
      </c>
      <c r="O3" s="5" t="inlineStr">
        <is>
          <t>未完成</t>
        </is>
      </c>
    </row>
    <row r="4" ht="58" customHeight="1">
      <c r="A4" s="2" t="n"/>
      <c r="B4" s="3" t="n"/>
      <c r="C4" s="4" t="n"/>
      <c r="D4" s="2" t="inlineStr">
        <is>
          <t>RSPB Ham Wall 椋鸟群飞季（starling murmuration）</t>
        </is>
      </c>
      <c r="E4" s="2" t="inlineStr">
        <is>
          <t>RSPB Ham Wall, Meare, near Glastonbury, Somerset</t>
        </is>
      </c>
      <c r="F4" s="2" t="inlineStr">
        <is>
          <t>venue_only</t>
        </is>
      </c>
      <c r="G4" s="5" t="inlineStr">
        <is>
          <t>11 月起（官方椋鸟热线 1 Nov 开通，可查前一晚鸟群停在哪个保护区）</t>
        </is>
      </c>
      <c r="H4" s="5" t="inlineStr">
        <is>
          <t>兴趣类(观鸟)</t>
        </is>
      </c>
      <c r="I4" s="7" t="inlineStr">
        <is>
          <t>潜在价值</t>
        </is>
      </c>
      <c r="J4" s="5" t="inlineStr">
        <is>
          <t>RSPB 官方页面说明；这是自然现象，不是售票活动，没有热度数据</t>
        </is>
      </c>
      <c r="K4" s="5" t="inlineStr">
        <is>
          <t>https://www.rspb.org.uk/days-out/reserves/ham-wall/the-starling-roost</t>
        </is>
      </c>
      <c r="L4" s="5" t="inlineStr">
        <is>
          <t>英国最壮观的冬季自然景观之一；建议 14:00 前到，出发前打热线 07866 554142</t>
        </is>
      </c>
      <c r="M4" s="5" t="inlineStr">
        <is>
          <t>—</t>
        </is>
      </c>
      <c r="N4" s="5" t="inlineStr">
        <is>
          <t>未取图：云端环境出站被拦（WebFetch EGRESS_BLOCKED），需在本地 Claude Code 补</t>
        </is>
      </c>
      <c r="O4" s="5" t="inlineStr">
        <is>
          <t>未完成</t>
        </is>
      </c>
    </row>
    <row r="5" ht="58" customHeight="1">
      <c r="A5" s="2" t="inlineStr">
        <is>
          <t>The Gaming Corner</t>
        </is>
      </c>
      <c r="B5" s="3" t="inlineStr">
        <is>
          <t>待制作：The Gaming Corner.png</t>
        </is>
      </c>
      <c r="C5" s="4" t="inlineStr">
        <is>
          <t>🔍 Event Radar (UK) — what's worth doing this month.
This month: GAMING 👇
🎮 EPIC49 LAN, Kettering — final day of the 700-seat LAN, tournament finals, 1 Nov.
🕹️ London Gaming Market, Royal National Hotel, Bloomsbury — retro games, consoles &amp; merch, from £4, 15 Nov.
🎲 EPIC.LAN TT11 Tabletop Weekender, Coventry — a weekend of board games plus a mini LAN, 20–22 Nov.
👾 RetroCon UK, NEC Birmingham — retro consoles &amp; arcade machines to play, 21 Nov.</t>
        </is>
      </c>
      <c r="D5" s="2" t="inlineStr">
        <is>
          <t>EPIC49 LAN Party（含 CS2 / VALORANT / StarCraft II / osu! 锦标赛）</t>
        </is>
      </c>
      <c r="E5" s="2" t="inlineStr">
        <is>
          <t>Arena Sports, Kettering Leisure Village, Thurston Drive, Kettering NN15 6PB</t>
        </is>
      </c>
      <c r="F5" s="2" t="inlineStr">
        <is>
          <t>exact</t>
        </is>
      </c>
      <c r="G5" s="5" t="inlineStr">
        <is>
          <t>29 Oct 16:00 – 1 Nov 16:00 2026（窗口内只有 1 Nov 决赛日）</t>
        </is>
      </c>
      <c r="H5" s="5" t="inlineStr">
        <is>
          <t>年轻人娱乐(电竞/LAN)</t>
        </is>
      </c>
      <c r="I5" s="8" t="inlineStr">
        <is>
          <t>高热度</t>
        </is>
      </c>
      <c r="J5" s="5" t="inlineStr">
        <is>
          <t>英国老牌 LAN 系列，已办到第 49 届，每年两届；这届 700 个电脑位；官网有 EPIC49 专页，赛事项目包括 CS2 和 VALORANT</t>
        </is>
      </c>
      <c r="K5" s="5" t="inlineStr">
        <is>
          <t>https://www.epiclan.co.uk/epic49 ; https://www.yorkshirepudd.co.uk/epic49-kettering-lan/ ; https://esportsinsider.com/2025/07/epic-lan-unveils-dates-for-2026-events</t>
        </is>
      </c>
      <c r="L5" s="5" t="inlineStr">
        <is>
          <t>自带电脑参加 4 天 LAN；报比赛必须买 BYOC 票，而且一张票只能报一个项目；万圣节夜有社区派对；票价没核实</t>
        </is>
      </c>
      <c r="M5" s="5" t="inlineStr">
        <is>
          <t>CS2 Frag Hub；Valorant Riot Crew</t>
        </is>
      </c>
      <c r="N5" s="5" t="inlineStr">
        <is>
          <t>未取图：云端环境出站被拦（WebFetch EGRESS_BLOCKED），需在本地 Claude Code 补</t>
        </is>
      </c>
      <c r="O5" s="5" t="inlineStr">
        <is>
          <t>未完成</t>
        </is>
      </c>
    </row>
    <row r="6" ht="71.5" customHeight="1">
      <c r="A6" s="2" t="n"/>
      <c r="B6" s="3" t="n"/>
      <c r="C6" s="4" t="n"/>
      <c r="D6" s="2" t="inlineStr">
        <is>
          <t>London Gaming Market（复古游戏市集）</t>
        </is>
      </c>
      <c r="E6" s="2" t="inlineStr">
        <is>
          <t>Royal National Hotel, 38–51 Bedford Way, London WC1H 0DG</t>
        </is>
      </c>
      <c r="F6" s="2" t="inlineStr">
        <is>
          <t>exact</t>
        </is>
      </c>
      <c r="G6" s="5" t="inlineStr">
        <is>
          <t>15 Nov 2026（周日）10:30–16:30</t>
        </is>
      </c>
      <c r="H6" s="5" t="inlineStr">
        <is>
          <t>兴趣类(游戏/复古)</t>
        </is>
      </c>
      <c r="I6" s="6" t="inlineStr">
        <is>
          <t>中热度</t>
        </is>
      </c>
      <c r="J6" s="5" t="inlineStr">
        <is>
          <t>自称英国历史最久、规模最大的游戏市集，每 4 个月一场；Eventbrite 正规售票</t>
        </is>
      </c>
      <c r="K6" s="5" t="inlineStr">
        <is>
          <t>https://www.eventbrite.co.uk/e/london-gaming-market-sunday-15th-november-2026-tickets-1998660374984 ; https://www.londongamingmarket.com/</t>
        </is>
      </c>
      <c r="L6" s="5" t="inlineStr">
        <is>
          <t>门票 £4–9（越晚越便宜）；就在 Bloomsbury，UCL 走路就到</t>
        </is>
      </c>
      <c r="M6" s="5" t="inlineStr">
        <is>
          <t>UCL Hub / UCL / IC Collective / Royal College of Art / King's College London / London School of Economics / Queen Mary University of London</t>
        </is>
      </c>
      <c r="N6" s="5" t="inlineStr">
        <is>
          <t>未取图：云端环境出站被拦（WebFetch EGRESS_BLOCKED），需在本地 Claude Code 补</t>
        </is>
      </c>
      <c r="O6" s="5" t="inlineStr">
        <is>
          <t>未完成</t>
        </is>
      </c>
    </row>
    <row r="7" ht="58" customHeight="1">
      <c r="A7" s="2" t="n"/>
      <c r="B7" s="3" t="n"/>
      <c r="C7" s="4" t="n"/>
      <c r="D7" s="2" t="inlineStr">
        <is>
          <t>EPIC.LAN TT11：桌游周末 + 小型 LAN</t>
        </is>
      </c>
      <c r="E7" s="2" t="inlineStr">
        <is>
          <t>DoubleTree by Hilton Coventry, Paradise Way, Walsgrave on Sowe, Coventry CV2 2ST</t>
        </is>
      </c>
      <c r="F7" s="2" t="inlineStr">
        <is>
          <t>exact</t>
        </is>
      </c>
      <c r="G7" s="5" t="inlineStr">
        <is>
          <t>20 Nov 2026（周五）14:00 – 22 Nov 2026（周日 15:00/16:00）</t>
        </is>
      </c>
      <c r="H7" s="5" t="inlineStr">
        <is>
          <t>兴趣类(桌游/游戏)</t>
        </is>
      </c>
      <c r="I7" s="6" t="inlineStr">
        <is>
          <t>中热度</t>
        </is>
      </c>
      <c r="J7" s="5" t="inlineStr">
        <is>
          <t>EPIC.LAN 官方活动（第 11 届桌游周末）；桌游区和约 40 个电脑位</t>
        </is>
      </c>
      <c r="K7" s="5" t="inlineStr">
        <is>
          <t>https://www.epiclan.co.uk/tt11 ; https://epiclan.co.uk/events</t>
        </is>
      </c>
      <c r="L7" s="5" t="inlineStr">
        <is>
          <t>桌游周末票 £42、LAN 周末票 £62；Warwick、Coventry 学生开车 15 分钟</t>
        </is>
      </c>
      <c r="M7" s="5" t="inlineStr">
        <is>
          <t>Coventry Fresher Hub 2026 / Warwick Student Life</t>
        </is>
      </c>
      <c r="N7" s="5" t="inlineStr">
        <is>
          <t>未取图：云端环境出站被拦（WebFetch EGRESS_BLOCKED），需在本地 Claude Code 补</t>
        </is>
      </c>
      <c r="O7" s="5" t="inlineStr">
        <is>
          <t>未完成</t>
        </is>
      </c>
    </row>
    <row r="8" ht="58" customHeight="1">
      <c r="A8" s="2" t="n"/>
      <c r="B8" s="3" t="n"/>
      <c r="C8" s="4" t="n"/>
      <c r="D8" s="2" t="inlineStr">
        <is>
          <t>RetroCon UK（复古游戏展）</t>
        </is>
      </c>
      <c r="E8" s="2" t="inlineStr">
        <is>
          <t>NEC Birmingham, North Avenue, Marston Green, Birmingham B40 1NT</t>
        </is>
      </c>
      <c r="F8" s="2" t="inlineStr">
        <is>
          <t>venue_only</t>
        </is>
      </c>
      <c r="G8" s="5" t="inlineStr">
        <is>
          <t>21 Nov 2026（周六）</t>
        </is>
      </c>
      <c r="H8" s="5" t="inlineStr">
        <is>
          <t>兴趣类(游戏/复古)</t>
        </is>
      </c>
      <c r="I8" s="7" t="inlineStr">
        <is>
          <t>潜在价值</t>
        </is>
      </c>
      <c r="J8" s="5" t="inlineStr">
        <is>
          <t>只在复古游戏活动汇总页上看到（retrodelights），没有官方售票数据</t>
        </is>
      </c>
      <c r="K8" s="5" t="inlineStr">
        <is>
          <t>https://retrodelights.co.uk/events/</t>
        </is>
      </c>
      <c r="L8" s="5" t="inlineStr">
        <is>
          <t>复古主机、街机试玩；推之前确认一下官方售票页</t>
        </is>
      </c>
      <c r="M8" s="5" t="inlineStr">
        <is>
          <t>—</t>
        </is>
      </c>
      <c r="N8" s="5" t="inlineStr">
        <is>
          <t>未取图：云端环境出站被拦（WebFetch EGRESS_BLOCKED），需在本地 Claude Code 补</t>
        </is>
      </c>
      <c r="O8" s="5" t="inlineStr">
        <is>
          <t>未完成</t>
        </is>
      </c>
    </row>
    <row r="9" ht="60" customHeight="1">
      <c r="A9" s="2" t="inlineStr">
        <is>
          <t>CS2 Frag Hub</t>
        </is>
      </c>
      <c r="B9" s="3" t="inlineStr">
        <is>
          <t>待制作：CS2 Frag Hub.png</t>
        </is>
      </c>
      <c r="C9" s="4" t="inlineStr">
        <is>
          <t>🔍 Event Radar (UK) — what's worth doing this month.
This month: CS2 &amp; LAN 👇
🔫 EPIC49 LAN, Kettering — CS2 tournament finals day (BYOC ticket needed), 1 Nov.</t>
        </is>
      </c>
      <c r="D9" s="2" t="inlineStr">
        <is>
          <t>EPIC49 LAN Party（含 CS2 / VALORANT / StarCraft II / osu! 锦标赛）</t>
        </is>
      </c>
      <c r="E9" s="2" t="inlineStr">
        <is>
          <t>Arena Sports, Kettering Leisure Village, Thurston Drive, Kettering NN15 6PB</t>
        </is>
      </c>
      <c r="F9" s="2" t="inlineStr">
        <is>
          <t>exact</t>
        </is>
      </c>
      <c r="G9" s="5" t="inlineStr">
        <is>
          <t>29 Oct 16:00 – 1 Nov 16:00 2026（窗口内只有 1 Nov 决赛日）</t>
        </is>
      </c>
      <c r="H9" s="5" t="inlineStr">
        <is>
          <t>年轻人娱乐(电竞/LAN)</t>
        </is>
      </c>
      <c r="I9" s="8" t="inlineStr">
        <is>
          <t>高热度</t>
        </is>
      </c>
      <c r="J9" s="5" t="inlineStr">
        <is>
          <t>英国老牌 LAN 系列，已办到第 49 届，每年两届；这届 700 个电脑位；官网有 EPIC49 专页，赛事项目包括 CS2 和 VALORANT</t>
        </is>
      </c>
      <c r="K9" s="5" t="inlineStr">
        <is>
          <t>https://www.epiclan.co.uk/epic49 ; https://www.yorkshirepudd.co.uk/epic49-kettering-lan/ ; https://esportsinsider.com/2025/07/epic-lan-unveils-dates-for-2026-events</t>
        </is>
      </c>
      <c r="L9" s="5" t="inlineStr">
        <is>
          <t>自带电脑参加 4 天 LAN；报比赛必须买 BYOC 票，而且一张票只能报一个项目；万圣节夜有社区派对；票价没核实</t>
        </is>
      </c>
      <c r="M9" s="5" t="inlineStr">
        <is>
          <t>The Gaming Corner；Valorant Riot Crew</t>
        </is>
      </c>
      <c r="N9" s="5" t="inlineStr">
        <is>
          <t>未取图：云端环境出站被拦（WebFetch EGRESS_BLOCKED），需在本地 Claude Code 补</t>
        </is>
      </c>
      <c r="O9" s="5" t="inlineStr">
        <is>
          <t>未完成</t>
        </is>
      </c>
    </row>
    <row r="10" ht="58" customHeight="1">
      <c r="A10" s="2" t="inlineStr">
        <is>
          <t>Day Trip Buddies</t>
        </is>
      </c>
      <c r="B10" s="3" t="inlineStr">
        <is>
          <t>待制作：Day Trip Buddies.png</t>
        </is>
      </c>
      <c r="C10" s="4" t="inlineStr">
        <is>
          <t>🔍 Event Radar (UK) — what's worth doing this month.
This month: DAY TRIPS 👇
🏔️ Kendal Mountain Festival, Kendal — 200+ talks, 150+ adventure films &amp; parties, 19–22 Nov.
🎄 York Christmas Market, Parliament Street, York — one of the UK's best festive markets (closed Tuesdays), from 12 Nov.
🎄 Bath Christmas Market, Bath — 150+ chalets around the Abbey, free entry, from 26 Nov.
📚 Hay Festival Winter Weekend, Hay-on-Wye — 60+ writers in the town of books, 26–29 Nov.
🔥 Weston Park Bonfire Night, Shifnal — a giant bonfire, two fireworks shows and a funfair, 8 Nov.
🏎️ Knockhill Live-Action &amp; Fireworks, Dunfermline — stunt driving + a big fireworks finale, 7 Nov.</t>
        </is>
      </c>
      <c r="D10" s="2" t="inlineStr">
        <is>
          <t>Kendal Mountain Festival 2026（户外电影 + 讲座 + 文学）</t>
        </is>
      </c>
      <c r="E10" s="2" t="inlineStr">
        <is>
          <t>Kendal, Cumbria（多个场地，节目单见 kendalmountainfestival.com）</t>
        </is>
      </c>
      <c r="F10" s="2" t="inlineStr">
        <is>
          <t>city_only</t>
        </is>
      </c>
      <c r="G10" s="5" t="inlineStr">
        <is>
          <t>19–22 Nov 2026（周四到周日）</t>
        </is>
      </c>
      <c r="H10" s="5" t="inlineStr">
        <is>
          <t>运动户外 + 电影/媒体</t>
        </is>
      </c>
      <c r="I10" s="8" t="inlineStr">
        <is>
          <t>高热度</t>
        </is>
      </c>
      <c r="J10" s="5" t="inlineStr">
        <is>
          <t>英国最大的户外山地节：200 多场活动、300 多位讲者、150 多部电影、10 多场派对（主办方数据）；年年举办</t>
        </is>
      </c>
      <c r="K10" s="5" t="inlineStr">
        <is>
          <t>https://www.kendalmountainfestival.com/ ; https://kendalbid.co.uk/event/kendal-mountain-festival-2026/</t>
        </is>
      </c>
      <c r="L10" s="5" t="inlineStr">
        <is>
          <t>户外迷必去；离 Lancaster 约 35 公里，火车可达；也有线上片单</t>
        </is>
      </c>
      <c r="M10" s="5" t="inlineStr">
        <is>
          <t>Reel Talk Club；Outdoor Adventure Club；University of Lancaster</t>
        </is>
      </c>
      <c r="N10" s="5" t="inlineStr">
        <is>
          <t>未取图：云端环境出站被拦（WebFetch EGRESS_BLOCKED），需在本地 Claude Code 补</t>
        </is>
      </c>
      <c r="O10" s="5" t="inlineStr">
        <is>
          <t>未完成</t>
        </is>
      </c>
    </row>
    <row r="11" ht="58" customHeight="1">
      <c r="A11" s="2" t="n"/>
      <c r="B11" s="3" t="n"/>
      <c r="C11" s="4" t="n"/>
      <c r="D11" s="2" t="inlineStr">
        <is>
          <t>York Christmas Market（St Nicholas Fair）</t>
        </is>
      </c>
      <c r="E11" s="2" t="inlineStr">
        <is>
          <t>Parliament Street &amp; St Sampson's Square, York YO1</t>
        </is>
      </c>
      <c r="F11" s="2" t="inlineStr">
        <is>
          <t>venue_only</t>
        </is>
      </c>
      <c r="G11" s="5" t="inlineStr">
        <is>
          <t>12 Nov – 21 Dec 2026，10:30–19:00（周二不开，今年试行）</t>
        </is>
      </c>
      <c r="H11" s="5" t="inlineStr">
        <is>
          <t>本地生活类(集市) + 一日游</t>
        </is>
      </c>
      <c r="I11" s="8" t="inlineStr">
        <is>
          <t>高热度</t>
        </is>
      </c>
      <c r="J11" s="5" t="inlineStr">
        <is>
          <t>Make It York 官方公布 2026 年日期和营业时间；英国最有名的圣诞市集之一</t>
        </is>
      </c>
      <c r="K11" s="5" t="inlineStr">
        <is>
          <t>https://www.makeityork.com/news/2026/08/york-christmas-market-2026-dates-announced/ ; https://visityork.org/christmas/york-christmas-market</t>
        </is>
      </c>
      <c r="L11" s="5" t="inlineStr">
        <is>
          <t>免费；⚠️周二不开；古城加圣诞市集，很适合一日游</t>
        </is>
      </c>
      <c r="M11" s="5" t="inlineStr">
        <is>
          <t>university of york student hub</t>
        </is>
      </c>
      <c r="N11" s="5" t="inlineStr">
        <is>
          <t>未取图：云端环境出站被拦（WebFetch EGRESS_BLOCKED），需在本地 Claude Code 补</t>
        </is>
      </c>
      <c r="O11" s="5" t="inlineStr">
        <is>
          <t>未完成</t>
        </is>
      </c>
    </row>
    <row r="12" ht="58" customHeight="1">
      <c r="A12" s="2" t="n"/>
      <c r="B12" s="3" t="n"/>
      <c r="C12" s="4" t="n"/>
      <c r="D12" s="2" t="inlineStr">
        <is>
          <t>Bath Christmas Market</t>
        </is>
      </c>
      <c r="E12" s="2" t="inlineStr">
        <is>
          <t>Bath city centre（Bath Abbey 一带）</t>
        </is>
      </c>
      <c r="F12" s="2" t="inlineStr">
        <is>
          <t>venue_only</t>
        </is>
      </c>
      <c r="G12" s="5" t="inlineStr">
        <is>
          <t>26 Nov – 13 Dec 2026（周一到周三 10:00–19:00，周四到周六到 20:00，周日到 18:00）</t>
        </is>
      </c>
      <c r="H12" s="5" t="inlineStr">
        <is>
          <t>本地生活类(集市) + 一日游</t>
        </is>
      </c>
      <c r="I12" s="8" t="inlineStr">
        <is>
          <t>高热度</t>
        </is>
      </c>
      <c r="J12" s="5" t="inlineStr">
        <is>
          <t>Bath &amp; North East Somerset 市议会 2025 年 12 月就公布了日期；英国最有名的圣诞市集之一</t>
        </is>
      </c>
      <c r="K12" s="5" t="inlineStr">
        <is>
          <t>https://newsroom.bathnes.gov.uk/node/34388 ; https://www.visitbath.co.uk/whats-on/bath-christmas-market-p2988783</t>
        </is>
      </c>
      <c r="L12" s="5" t="inlineStr">
        <is>
          <t>免费入场；古城加 150 多个木屋摊位，经典一日游</t>
        </is>
      </c>
      <c r="M12" s="5" t="inlineStr">
        <is>
          <t>—</t>
        </is>
      </c>
      <c r="N12" s="5" t="inlineStr">
        <is>
          <t>未取图：云端环境出站被拦（WebFetch EGRESS_BLOCKED），需在本地 Claude Code 补</t>
        </is>
      </c>
      <c r="O12" s="5" t="inlineStr">
        <is>
          <t>未完成</t>
        </is>
      </c>
    </row>
    <row r="13" ht="58" customHeight="1">
      <c r="A13" s="2" t="n"/>
      <c r="B13" s="3" t="n"/>
      <c r="C13" s="4" t="n"/>
      <c r="D13" s="2" t="inlineStr">
        <is>
          <t>Hay Festival Winter Weekend 2026</t>
        </is>
      </c>
      <c r="E13" s="2" t="inlineStr">
        <is>
          <t>Hay-on-Wye（主要场地 Hay Castle）, Powys</t>
        </is>
      </c>
      <c r="F13" s="2" t="inlineStr">
        <is>
          <t>venue_only</t>
        </is>
      </c>
      <c r="G13" s="5" t="inlineStr">
        <is>
          <t>26–29 Nov 2026（周四到周日；27 Nov 小镇圣诞亮灯）</t>
        </is>
      </c>
      <c r="H13" s="5" t="inlineStr">
        <is>
          <t>兴趣类(文学) + 一日游</t>
        </is>
      </c>
      <c r="I13" s="8" t="inlineStr">
        <is>
          <t>高热度</t>
        </is>
      </c>
      <c r="J13" s="5" t="inlineStr">
        <is>
          <t>Hay Festival 官网公布；60 多位作家、艺术家和表演者参加；书店小镇</t>
        </is>
      </c>
      <c r="K13" s="5" t="inlineStr">
        <is>
          <t>https://www.hayfestival.com/winter-weekend/home ; https://nation.cymru/culture/hay-festival-winter-weekend-2026-reveal-standout-programme-of-events/</t>
        </is>
      </c>
      <c r="L13" s="5" t="inlineStr">
        <is>
          <t>世界最有名的书店小镇，冬季周末规模小、更好订票</t>
        </is>
      </c>
      <c r="M13" s="5" t="inlineStr">
        <is>
          <t>Page Turners Club</t>
        </is>
      </c>
      <c r="N13" s="5" t="inlineStr">
        <is>
          <t>未取图：云端环境出站被拦（WebFetch EGRESS_BLOCKED），需在本地 Claude Code 补</t>
        </is>
      </c>
      <c r="O13" s="5" t="inlineStr">
        <is>
          <t>未完成</t>
        </is>
      </c>
    </row>
    <row r="14" ht="58" customHeight="1">
      <c r="A14" s="2" t="n"/>
      <c r="B14" s="3" t="n"/>
      <c r="C14" s="4" t="n"/>
      <c r="D14" s="2" t="inlineStr">
        <is>
          <t>Weston Park Bonfire &amp; Fireworks Night 2026</t>
        </is>
      </c>
      <c r="E14" s="2" t="inlineStr">
        <is>
          <t>Weston Park, Weston-under-Lizard, Shifnal TF11 8LE</t>
        </is>
      </c>
      <c r="F14" s="2" t="inlineStr">
        <is>
          <t>exact</t>
        </is>
      </c>
      <c r="G14" s="5" t="inlineStr">
        <is>
          <t>8 Nov 2026（周日）15:00 开门，17:00 点篝火，18:00 和 19:30 两场烟花</t>
        </is>
      </c>
      <c r="H14" s="5" t="inlineStr">
        <is>
          <t>年轻人娱乐(烟花) + 一日游</t>
        </is>
      </c>
      <c r="I14" s="6" t="inlineStr">
        <is>
          <t>中热度</t>
        </is>
      </c>
      <c r="J14" s="5" t="inlineStr">
        <is>
          <t>年年举办的庄园篝火夜，在 See Tickets / Ents24 正规售票，Visit Telford 有收录</t>
        </is>
      </c>
      <c r="K14" s="5" t="inlineStr">
        <is>
          <t>https://weston-park.com/bonfire-fireworks-night/ ; https://www.seetickets.com/event/bonfire-fireworks-night-2026/weston-park/3697208</t>
        </is>
      </c>
      <c r="L14" s="5" t="inlineStr">
        <is>
          <t>离 Harper Adams 和 Wolverhampton 都不远；乡村庄园 + 游乐场 + 两场烟花，适合当一日游</t>
        </is>
      </c>
      <c r="M14" s="5" t="inlineStr">
        <is>
          <t>Wolverhampton Freshers Hub 2026 / Harper Adams Campus Life</t>
        </is>
      </c>
      <c r="N14" s="5" t="inlineStr">
        <is>
          <t>未取图：云端环境出站被拦（WebFetch EGRESS_BLOCKED），需在本地 Claude Code 补</t>
        </is>
      </c>
      <c r="O14" s="5" t="inlineStr">
        <is>
          <t>未完成</t>
        </is>
      </c>
    </row>
    <row r="15" ht="71.5" customHeight="1">
      <c r="A15" s="2" t="n"/>
      <c r="B15" s="3" t="n"/>
      <c r="C15" s="4" t="n"/>
      <c r="D15" s="2" t="inlineStr">
        <is>
          <t>Knockhill Live-Action &amp; Fireworks Spectacular（赛车表演 + 篝火烟花）</t>
        </is>
      </c>
      <c r="E15" s="2" t="inlineStr">
        <is>
          <t>Knockhill Racing Circuit, Dunfermline, Fife KY12 9TF</t>
        </is>
      </c>
      <c r="F15" s="2" t="inlineStr">
        <is>
          <t>exact</t>
        </is>
      </c>
      <c r="G15" s="5" t="inlineStr">
        <is>
          <t>7 Nov 2026（周六）13:00 开门，14:00 赛道表演，约 17:30 放烟花</t>
        </is>
      </c>
      <c r="H15" s="5" t="inlineStr">
        <is>
          <t>年轻人娱乐(烟花/赛车) + 一日游</t>
        </is>
      </c>
      <c r="I15" s="6" t="inlineStr">
        <is>
          <t>中热度</t>
        </is>
      </c>
      <c r="J15" s="5" t="inlineStr">
        <is>
          <t>苏格兰国家赛车场官方主办，年年举办；烟花由 Edinburgh 21CC Fireworks 制作；What's On Fife 收录</t>
        </is>
      </c>
      <c r="K15" s="5" t="inlineStr">
        <is>
          <t>https://www.knockhill.com/events/fixture-Live-Action-amp-Fireworks-Spectacular-id917 ; https://www.whatsonfife.co.uk/event/078801-live-action-and-fireworks-spectacular-at-knockhill</t>
        </is>
      </c>
      <c r="L15" s="5" t="inlineStr">
        <is>
          <t>赛车漂移表演 + 烟花，很特别；离 Stirling 约 35 公里、离 St Andrews 约 50 公里，适合组团开车去</t>
        </is>
      </c>
      <c r="M15" s="5" t="inlineStr">
        <is>
          <t>University of St Andrews；University of Stirling</t>
        </is>
      </c>
      <c r="N15" s="5" t="inlineStr">
        <is>
          <t>未取图：云端环境出站被拦（WebFetch EGRESS_BLOCKED），需在本地 Claude Code 补</t>
        </is>
      </c>
      <c r="O15" s="5" t="inlineStr">
        <is>
          <t>未完成</t>
        </is>
      </c>
    </row>
    <row r="16" ht="85" customHeight="1">
      <c r="A16" s="2" t="inlineStr">
        <is>
          <t>Fitness Check-ins</t>
        </is>
      </c>
      <c r="B16" s="3" t="inlineStr">
        <is>
          <t>待制作：Fitness Check-ins.png</t>
        </is>
      </c>
      <c r="C16" s="4" t="inlineStr">
        <is>
          <t>🔍 Event Radar (UK) — what's worth doing this month.
This month: RUNNING 👇
🏃 Leeds Abbey Dash 10K, Leeds city centre — a flat, fast 10K out to Kirkstall Abbey, 29 Nov.</t>
        </is>
      </c>
      <c r="D16" s="2" t="inlineStr">
        <is>
          <t>Leeds Abbey Dash 10K</t>
        </is>
      </c>
      <c r="E16" s="2" t="inlineStr">
        <is>
          <t>起终点 Wellington Street, Leeds LS1 4DL（路线往返 Kirkstall Abbey）</t>
        </is>
      </c>
      <c r="F16" s="2" t="inlineStr">
        <is>
          <t>exact</t>
        </is>
      </c>
      <c r="G16" s="5" t="inlineStr">
        <is>
          <t>29 Nov 2026（周日）9:30 起跑</t>
        </is>
      </c>
      <c r="H16" s="5" t="inlineStr">
        <is>
          <t>运动户外(跑步)</t>
        </is>
      </c>
      <c r="I16" s="8" t="inlineStr">
        <is>
          <t>高热度</t>
        </is>
      </c>
      <c r="J16" s="5" t="inlineStr">
        <is>
          <t>利兹老牌 10K，办了近 40 年；今年是英格兰田径 10K 锦标赛指定赛事；Run For All 主办</t>
        </is>
      </c>
      <c r="K16" s="5" t="inlineStr">
        <is>
          <t>https://www.runforall.com/events/10k/abbey-dash/ ; https://www.runforall.com/community/news/leeds-abbey-dash-2026-opens-for-entries-as-england-athletics-championship-returns/</t>
        </is>
      </c>
      <c r="L16" s="5" t="inlineStr">
        <is>
          <t>报名费约 £29–41（看渠道）；路线平坦，适合第一次跑 10K</t>
        </is>
      </c>
      <c r="M16" s="5" t="inlineStr">
        <is>
          <t>Leeds Uni Student Hub / Leeds University group 2 / Leeds University group 3 / Leeds University group 4 / Leeds University group 5 / Leeds University group 6 / Leeds University group 7</t>
        </is>
      </c>
      <c r="N16" s="5" t="inlineStr">
        <is>
          <t>未取图：云端环境出站被拦（WebFetch EGRESS_BLOCKED），需在本地 Claude Code 补</t>
        </is>
      </c>
      <c r="O16" s="5" t="inlineStr">
        <is>
          <t>未完成</t>
        </is>
      </c>
    </row>
    <row r="17" ht="58" customHeight="1">
      <c r="A17" s="2" t="inlineStr">
        <is>
          <t>Girls' Corner</t>
        </is>
      </c>
      <c r="B17" s="3" t="inlineStr">
        <is>
          <t>待制作：Girls' Corner.png</t>
        </is>
      </c>
      <c r="C17" s="4" t="inlineStr">
        <is>
          <t>🔍 Event Radar (UK) — what's worth doing this month.
This month: GIRLS' NIGHTS OUT 👇
🧹 Season of the Witch, Manchester — Girl Gang's craft nights &amp; witchy events, to 22 Nov.
💬 Lonely Girls Club Friday Girls Night, Manchester — a solo-friendly night to make friends (tickets soon), 6 Nov.</t>
        </is>
      </c>
      <c r="D17" s="2" t="inlineStr">
        <is>
          <t>Girl Gang MCR：Season of the Witch 系列活动</t>
        </is>
      </c>
      <c r="E17" s="2" t="inlineStr">
        <is>
          <t>Manchester 多个场地：Craft &amp; Coven 手工夜在 Cloudwater Taproom；其余场次（含 Pendle 徒步）场地和日期要看 girlgangmcr.com</t>
        </is>
      </c>
      <c r="F17" s="2" t="inlineStr">
        <is>
          <t>venue_only</t>
        </is>
      </c>
      <c r="G17" s="5" t="inlineStr">
        <is>
          <t>22 Sep – 22 Nov 2026（窗口内为 1–22 Nov；单场日期见官网）</t>
        </is>
      </c>
      <c r="H17" s="5" t="inlineStr">
        <is>
          <t>社交类(女性) + 兴趣类(手工)</t>
        </is>
      </c>
      <c r="I17" s="7" t="inlineStr">
        <is>
          <t>潜在价值</t>
        </is>
      </c>
      <c r="J17" s="5" t="inlineStr">
        <is>
          <t>Manchester's Finest 收录；系列里有 Craft &amp; Coven 手工夜、Pendle 女巫审判主题徒步等；没有单场售票数据</t>
        </is>
      </c>
      <c r="K17" s="5" t="inlineStr">
        <is>
          <t>https://www.manchestersfinest.com/events/girl-gang-mcr-season-of-the-witch/ ; https://girlgangmcr.com/upcoming-events/</t>
        </is>
      </c>
      <c r="L17" s="5" t="inlineStr">
        <is>
          <t>窗口内有多场可选；Pendle 徒步的具体日期没搜到，推之前要看官网确认单场日期</t>
        </is>
      </c>
      <c r="M17" s="5" t="inlineStr">
        <is>
          <t>—</t>
        </is>
      </c>
      <c r="N17" s="5" t="inlineStr">
        <is>
          <t>未取图：云端环境出站被拦（WebFetch EGRESS_BLOCKED），需在本地 Claude Code 补</t>
        </is>
      </c>
      <c r="O17" s="5" t="inlineStr">
        <is>
          <t>未完成</t>
        </is>
      </c>
    </row>
    <row r="18" ht="58" customHeight="1">
      <c r="A18" s="2" t="n"/>
      <c r="B18" s="3" t="n"/>
      <c r="C18" s="4" t="n"/>
      <c r="D18" s="2" t="inlineStr">
        <is>
          <t>Lonely Girls Club Manchester：Friday Girls Night</t>
        </is>
      </c>
      <c r="E18" s="2" t="inlineStr">
        <is>
          <t>Manchester（⚠️场地报名后才公布）</t>
        </is>
      </c>
      <c r="F18" s="2" t="inlineStr">
        <is>
          <t>city_only</t>
        </is>
      </c>
      <c r="G18" s="5" t="inlineStr">
        <is>
          <t>6 Nov 2026（周五）</t>
        </is>
      </c>
      <c r="H18" s="5" t="inlineStr">
        <is>
          <t>社交类(女性交友)</t>
        </is>
      </c>
      <c r="I18" s="7" t="inlineStr">
        <is>
          <t>潜在价值</t>
        </is>
      </c>
      <c r="J18" s="5" t="inlineStr">
        <is>
          <t>官网列为"coming soon"，还没开票；LGC 是成熟的女性交友组织</t>
        </is>
      </c>
      <c r="K18" s="5" t="inlineStr">
        <is>
          <t>https://www.llgc.co.uk/</t>
        </is>
      </c>
      <c r="L18" s="5" t="inlineStr">
        <is>
          <t>一个人去也没压力；开票后再推</t>
        </is>
      </c>
      <c r="M18" s="5" t="inlineStr">
        <is>
          <t>—</t>
        </is>
      </c>
      <c r="N18" s="5" t="inlineStr">
        <is>
          <t>未取图：云端环境出站被拦（WebFetch EGRESS_BLOCKED），需在本地 Claude Code 补</t>
        </is>
      </c>
      <c r="O18" s="5" t="inlineStr">
        <is>
          <t>未完成</t>
        </is>
      </c>
    </row>
    <row r="19" ht="58" customHeight="1">
      <c r="A19" s="2" t="inlineStr">
        <is>
          <t>Green Thumb Circle</t>
        </is>
      </c>
      <c r="B19" s="3" t="inlineStr">
        <is>
          <t>待制作：Green Thumb Circle.png</t>
        </is>
      </c>
      <c r="C19" s="4" t="inlineStr">
        <is>
          <t>🔍 Event Radar (UK) — what's worth doing this month.
This month: GARDENS AFTER DARK 👇
✨ Christmas at Kew, Kew Gardens — the UK's original festive light trail, from 13 Nov.
🌿 RHS Glow at Harlow Carr, Harrogate — a garden lit up for its 10th year, from 26 Nov.
🌿 RHS Glow at Wisley, Surrey — new route with 7 installations &amp; 2 light shows, from 20 Nov.</t>
        </is>
      </c>
      <c r="D19" s="2" t="inlineStr">
        <is>
          <t>Christmas at Kew 2026 灯光步道</t>
        </is>
      </c>
      <c r="E19" s="2" t="inlineStr">
        <is>
          <t>Royal Botanic Gardens, Kew, Richmond TW9 3AE</t>
        </is>
      </c>
      <c r="F19" s="2" t="inlineStr">
        <is>
          <t>exact</t>
        </is>
      </c>
      <c r="G19" s="5" t="inlineStr">
        <is>
          <t>13 Nov 2026 – 3 Jan 2027（16、23、28 Nov 不开），16:20–22:00</t>
        </is>
      </c>
      <c r="H19" s="5" t="inlineStr">
        <is>
          <t>本地生活类(灯光步道) + 园艺</t>
        </is>
      </c>
      <c r="I19" s="8" t="inlineStr">
        <is>
          <t>高热度</t>
        </is>
      </c>
      <c r="J19" s="5" t="inlineStr">
        <is>
          <t>Kew 官方新闻稿公布 2026 年日期；英国最早的节日灯光步道，年年举办，热门日期常售罄</t>
        </is>
      </c>
      <c r="K19" s="5" t="inlineStr">
        <is>
          <t>https://www.kew.org/about-us/press-media/christmas-at-kew-returns-for-2026 ; https://www.kew.org/kew-gardens/whats-on/christmas</t>
        </is>
      </c>
      <c r="L19" s="5" t="inlineStr">
        <is>
          <t>离 St Mary's 很近；成人票约 £25 起，不便宜，建议选 off-peak；分时段入场</t>
        </is>
      </c>
      <c r="M19" s="5" t="inlineStr">
        <is>
          <t>St Mary's University, Twickenham</t>
        </is>
      </c>
      <c r="N19" s="5" t="inlineStr">
        <is>
          <t>未取图：云端环境出站被拦（WebFetch EGRESS_BLOCKED），需在本地 Claude Code 补</t>
        </is>
      </c>
      <c r="O19" s="5" t="inlineStr">
        <is>
          <t>未完成</t>
        </is>
      </c>
    </row>
    <row r="20" ht="58" customHeight="1">
      <c r="A20" s="2" t="n"/>
      <c r="B20" s="3" t="n"/>
      <c r="C20" s="4" t="n"/>
      <c r="D20" s="2" t="inlineStr">
        <is>
          <t>RHS Glow：Harlow Carr 灯光花园（10 周年）</t>
        </is>
      </c>
      <c r="E20" s="2" t="inlineStr">
        <is>
          <t>RHS Garden Harlow Carr, Crag Lane, Harrogate HG3 1QB</t>
        </is>
      </c>
      <c r="F20" s="2" t="inlineStr">
        <is>
          <t>exact</t>
        </is>
      </c>
      <c r="G20" s="5" t="inlineStr">
        <is>
          <t>26 Nov – 30 Dec 2026（指定日期开放）</t>
        </is>
      </c>
      <c r="H20" s="5" t="inlineStr">
        <is>
          <t>兴趣类(园艺) + 灯光步道</t>
        </is>
      </c>
      <c r="I20" s="6" t="inlineStr">
        <is>
          <t>中热度</t>
        </is>
      </c>
      <c r="J20" s="5" t="inlineStr">
        <is>
          <t>RHS 官方页面公布；Harlow Carr 场办到第 10 年，今年新增 off-peak 票</t>
        </is>
      </c>
      <c r="K20" s="5" t="inlineStr">
        <is>
          <t>https://www.rhs.org.uk/gardens/articles/glow-illuminations</t>
        </is>
      </c>
      <c r="L20" s="5" t="inlineStr">
        <is>
          <t>离 York、Leeds 都约 35 公里；分时段预约</t>
        </is>
      </c>
      <c r="M20" s="5" t="inlineStr">
        <is>
          <t>university of york student hub</t>
        </is>
      </c>
      <c r="N20" s="5" t="inlineStr">
        <is>
          <t>未取图：云端环境出站被拦（WebFetch EGRESS_BLOCKED），需在本地 Claude Code 补</t>
        </is>
      </c>
      <c r="O20" s="5" t="inlineStr">
        <is>
          <t>未完成</t>
        </is>
      </c>
    </row>
    <row r="21" ht="58" customHeight="1">
      <c r="A21" s="2" t="n"/>
      <c r="B21" s="3" t="n"/>
      <c r="C21" s="4" t="n"/>
      <c r="D21" s="2" t="inlineStr">
        <is>
          <t>RHS Glow：Wisley 灯光花园</t>
        </is>
      </c>
      <c r="E21" s="2" t="inlineStr">
        <is>
          <t>RHS Garden Wisley, Wisley Lane, Woking GU23 6QB</t>
        </is>
      </c>
      <c r="F21" s="2" t="inlineStr">
        <is>
          <t>exact</t>
        </is>
      </c>
      <c r="G21" s="5" t="inlineStr">
        <is>
          <t>20 Nov 2026 – 3 Jan 2027（指定日期开放）</t>
        </is>
      </c>
      <c r="H21" s="5" t="inlineStr">
        <is>
          <t>兴趣类(园艺) + 灯光步道</t>
        </is>
      </c>
      <c r="I21" s="6" t="inlineStr">
        <is>
          <t>中热度</t>
        </is>
      </c>
      <c r="J21" s="5" t="inlineStr">
        <is>
          <t>RHS 官方页面公布；今年新路线，7 个新装置、2 场灯光秀</t>
        </is>
      </c>
      <c r="K21" s="5" t="inlineStr">
        <is>
          <t>https://www.rhs.org.uk/gardens/articles/glow-illuminations ; https://www.visitlondon.com/things-to-do/place/51021317-rhs-glow-at-wisley</t>
        </is>
      </c>
      <c r="L21" s="5" t="inlineStr">
        <is>
          <t>园艺爱好者看冬季花园；有 super off-peak 优惠票</t>
        </is>
      </c>
      <c r="M21" s="5" t="inlineStr">
        <is>
          <t>—</t>
        </is>
      </c>
      <c r="N21" s="5" t="inlineStr">
        <is>
          <t>未取图：云端环境出站被拦（WebFetch EGRESS_BLOCKED），需在本地 Claude Code 补</t>
        </is>
      </c>
      <c r="O21" s="5" t="inlineStr">
        <is>
          <t>未完成</t>
        </is>
      </c>
    </row>
    <row r="22" ht="71.5" customHeight="1">
      <c r="A22" s="2" t="inlineStr">
        <is>
          <t>Live Music Crew</t>
        </is>
      </c>
      <c r="B22" s="3" t="inlineStr">
        <is>
          <t>待制作：Live Music Crew.png</t>
        </is>
      </c>
      <c r="C22" s="4" t="inlineStr">
        <is>
          <t>🔍 Event Radar (UK) — what's worth doing this month.
This month: MUSIC 👇
🎷 EFG London Jazz Festival, 70+ venues across London — big names &amp; free gigs alike, 13–22 Nov.
🎸 Bloc Party &amp; Interpol, Utilita Arena Birmingham — a 2000s indie double-header, 20 Nov.
🕺 Jungle, first direct bank arena, Leeds — an arena-sized dance party, 21 Nov.
🤘 Core. Festival, Glasgow — a heavy-music weekend with Pig Destroyer, Eyehategod &amp; more, 13–15 Nov.
🎸 Pop Mutations x Tiny Changes, Glasgow — an indie weekender across four grassroots venues, 13–14 Nov.
🎤 Reverend and The Makers, Northumbria SU — a big indie gig right on campus, 14 Nov.
🎤 Phoebe Bridgers, Co-op Live, Manchester — an indie heavyweight live, 26 Nov.
🎸 Blossoms, Co-op Live, Manchester — the local heroes' hometown arena show, 28 Nov.</t>
        </is>
      </c>
      <c r="D22" s="2" t="inlineStr">
        <is>
          <t>EFG London Jazz Festival 2026（第 34 届）</t>
        </is>
      </c>
      <c r="E22" s="2" t="inlineStr">
        <is>
          <t>伦敦 70 多个场地：开幕 Jazz Voice 在 Royal Festival Hall（Southbank Centre, Belvedere Road, SE1）；另有 Royal Albert Hall、British Airways Arc 等</t>
        </is>
      </c>
      <c r="F22" s="2" t="inlineStr">
        <is>
          <t>venue_only</t>
        </is>
      </c>
      <c r="G22" s="5" t="inlineStr">
        <is>
          <t>13–22 Nov 2026（开幕 13 Nov）</t>
        </is>
      </c>
      <c r="H22" s="5" t="inlineStr">
        <is>
          <t>年轻人娱乐(Live Music/爵士)</t>
        </is>
      </c>
      <c r="I22" s="8" t="inlineStr">
        <is>
          <t>高热度</t>
        </is>
      </c>
      <c r="J22" s="5" t="inlineStr">
        <is>
          <t>第 34 届，覆盖伦敦一半以上的行政区；Southbank Centre 官方列出；阵容有 Samara Joy、Melody Gardot（16 Nov Royal Albert Hall）等</t>
        </is>
      </c>
      <c r="K22" s="5" t="inlineStr">
        <is>
          <t>https://www.southbankcentre.co.uk/events/efg-london-jazz-festival/ ; https://www.clashmusic.com/live/efg-london-jazz-festival-2026-first-names-confirmed/</t>
        </is>
      </c>
      <c r="L22" s="5" t="inlineStr">
        <is>
          <t>大场、小酒吧都有，不少免费场和低价场，适合各种预算</t>
        </is>
      </c>
      <c r="M22" s="5" t="inlineStr">
        <is>
          <t>UCL Hub / UCL / IC Collective / Royal College of Art / King's College London / London School of Economics / Queen Mary University of London</t>
        </is>
      </c>
      <c r="N22" s="5" t="inlineStr">
        <is>
          <t>未取图：云端环境出站被拦（WebFetch EGRESS_BLOCKED），需在本地 Claude Code 补</t>
        </is>
      </c>
      <c r="O22" s="5" t="inlineStr">
        <is>
          <t>未完成</t>
        </is>
      </c>
    </row>
    <row r="23" ht="58" customHeight="1">
      <c r="A23" s="2" t="n"/>
      <c r="B23" s="3" t="n"/>
      <c r="C23" s="4" t="n"/>
      <c r="D23" s="2" t="inlineStr">
        <is>
          <t>Bloc Party &amp; Interpol 联合巡演 伯明翰站</t>
        </is>
      </c>
      <c r="E23" s="2" t="inlineStr">
        <is>
          <t>Utilita Arena Birmingham, King Edwards Road, Birmingham B1 2AA</t>
        </is>
      </c>
      <c r="F23" s="2" t="inlineStr">
        <is>
          <t>exact</t>
        </is>
      </c>
      <c r="G23" s="5" t="inlineStr">
        <is>
          <t>20 Nov 2026（周五）19:30</t>
        </is>
      </c>
      <c r="H23" s="5" t="inlineStr">
        <is>
          <t>年轻人娱乐(Live Music/独立摇滚)</t>
        </is>
      </c>
      <c r="I23" s="8" t="inlineStr">
        <is>
          <t>高热度</t>
        </is>
      </c>
      <c r="J23" s="5" t="inlineStr">
        <is>
          <t>Live Nation、AXS、Ticketmaster 正规售票；这次巡演的英国首站；会唱 Silent Alarm、Antics 两张经典专辑里的歌</t>
        </is>
      </c>
      <c r="K23" s="5" t="inlineStr">
        <is>
          <t>https://www.livenation.co.uk/event/bloc-party-and-interpol-birmingham-tickets-edp1631240 ; https://www.songkick.com/concerts/42867381-bloc-party-at-utilita-arena-birmingham</t>
        </is>
      </c>
      <c r="L23" s="5" t="inlineStr">
        <is>
          <t>两支 2000 年代独立摇滚代表乐队同台；票价约 £36–61</t>
        </is>
      </c>
      <c r="M23" s="5" t="inlineStr">
        <is>
          <t>BCU Fresher Hub 2026 / Aston Fresher Hub 2026 / SCCB| Birmingham Student Life / UCB Student Life</t>
        </is>
      </c>
      <c r="N23" s="5" t="inlineStr">
        <is>
          <t>未取图：云端环境出站被拦（WebFetch EGRESS_BLOCKED），需在本地 Claude Code 补</t>
        </is>
      </c>
      <c r="O23" s="5" t="inlineStr">
        <is>
          <t>未完成</t>
        </is>
      </c>
    </row>
    <row r="24" ht="85" customHeight="1">
      <c r="A24" s="2" t="n"/>
      <c r="B24" s="3" t="n"/>
      <c r="C24" s="4" t="n"/>
      <c r="D24" s="2" t="inlineStr">
        <is>
          <t>Jungle 演唱会</t>
        </is>
      </c>
      <c r="E24" s="2" t="inlineStr">
        <is>
          <t>first direct bank arena, Arena Way, Leeds LS2 8BY</t>
        </is>
      </c>
      <c r="F24" s="2" t="inlineStr">
        <is>
          <t>exact</t>
        </is>
      </c>
      <c r="G24" s="5" t="inlineStr">
        <is>
          <t>21 Nov 2026（周六）18:30/19:00</t>
        </is>
      </c>
      <c r="H24" s="5" t="inlineStr">
        <is>
          <t>年轻人娱乐(Live Music/电子灵魂)</t>
        </is>
      </c>
      <c r="I24" s="8" t="inlineStr">
        <is>
          <t>高热度</t>
        </is>
      </c>
      <c r="J24" s="5" t="inlineStr">
        <is>
          <t>See Tickets、AXS、Ticketmaster 正规售票；二手票溢价到 £140 以上，说明需求旺</t>
        </is>
      </c>
      <c r="K24" s="5" t="inlineStr">
        <is>
          <t>https://www.seetickets.com/event/jungle/first-direct-bank-arena/3618943 ; https://www.axs.com/uk/events/1383202/jungle-tickets</t>
        </is>
      </c>
      <c r="L24" s="5" t="inlineStr">
        <is>
          <t>票面 £40 起，别买二手高价票；体育场离 Leeds 大学走路 10 分钟</t>
        </is>
      </c>
      <c r="M24" s="5" t="inlineStr">
        <is>
          <t>Leeds Uni Student Hub / Leeds University group 2 / Leeds University group 3 / Leeds University group 4 / Leeds University group 5 / Leeds University group 6 / Leeds University group 7</t>
        </is>
      </c>
      <c r="N24" s="5" t="inlineStr">
        <is>
          <t>未取图：云端环境出站被拦（WebFetch EGRESS_BLOCKED），需在本地 Claude Code 补</t>
        </is>
      </c>
      <c r="O24" s="5" t="inlineStr">
        <is>
          <t>未完成</t>
        </is>
      </c>
    </row>
    <row r="25" ht="71.5" customHeight="1">
      <c r="A25" s="2" t="n"/>
      <c r="B25" s="3" t="n"/>
      <c r="C25" s="4" t="n"/>
      <c r="D25" s="2" t="inlineStr">
        <is>
          <t>Core. 重型音乐节（Pig Destroyer / Eyehategod / Wormrot / Raging Speedhorn 等）</t>
        </is>
      </c>
      <c r="E25" s="2" t="inlineStr">
        <is>
          <t>Glasgow 多个场地：The Art School（20 Scott Street）、Nice N Sleazy（421 Sauchiehall Street）、Garnethill Multicultural Centre、Woodside Hall（11/15 Pig Destroyer 场）</t>
        </is>
      </c>
      <c r="F25" s="2" t="inlineStr">
        <is>
          <t>venue_only</t>
        </is>
      </c>
      <c r="G25" s="5" t="inlineStr">
        <is>
          <t>13–15 Nov 2026</t>
        </is>
      </c>
      <c r="H25" s="5" t="inlineStr">
        <is>
          <t>年轻人娱乐(Live Music/金属)</t>
        </is>
      </c>
      <c r="I25" s="6" t="inlineStr">
        <is>
          <t>中热度</t>
        </is>
      </c>
      <c r="J25" s="5" t="inlineStr">
        <is>
          <t>What's On Glasgow 收录，号称"苏格兰最新的重型音乐节"，今年第二届；阵容里有 Pig Destroyer、Eyehategod 等国际乐队</t>
        </is>
      </c>
      <c r="K25" s="5" t="inlineStr">
        <is>
          <t>https://www.whatsonglasgow.co.uk/event/118210-core./ ; https://corepresents.seetickets.com/search/all</t>
        </is>
      </c>
      <c r="L25" s="5" t="inlineStr">
        <is>
          <t>金属、硬核爱好者的周末；多个场馆可以串场</t>
        </is>
      </c>
      <c r="M25" s="5" t="inlineStr">
        <is>
          <t>Glasgow City College / Glasgow Caledonian University / University of Strathclyde</t>
        </is>
      </c>
      <c r="N25" s="5" t="inlineStr">
        <is>
          <t>未取图：云端环境出站被拦（WebFetch EGRESS_BLOCKED），需在本地 Claude Code 补</t>
        </is>
      </c>
      <c r="O25" s="5" t="inlineStr">
        <is>
          <t>未完成</t>
        </is>
      </c>
    </row>
    <row r="26" ht="58" customHeight="1">
      <c r="A26" s="2" t="n"/>
      <c r="B26" s="3" t="n"/>
      <c r="C26" s="4" t="n"/>
      <c r="D26" s="2" t="inlineStr">
        <is>
          <t>Pop Mutations x Tiny Changes 小型音乐周末</t>
        </is>
      </c>
      <c r="E26" s="2" t="inlineStr">
        <is>
          <t>Glasgow 4 家场馆：The Old Hairdressers（Renfield Lane）、Stereo（Renfield Lane）、Mono（King's Court）、The Glad Café（Pollokshaws Road）</t>
        </is>
      </c>
      <c r="F26" s="2" t="inlineStr">
        <is>
          <t>venue_only</t>
        </is>
      </c>
      <c r="G26" s="5" t="inlineStr">
        <is>
          <t>13–14 Nov 2026</t>
        </is>
      </c>
      <c r="H26" s="5" t="inlineStr">
        <is>
          <t>年轻人娱乐(Live Music/独立音乐)</t>
        </is>
      </c>
      <c r="I26" s="6" t="inlineStr">
        <is>
          <t>中热度</t>
        </is>
      </c>
      <c r="J26" s="5" t="inlineStr">
        <is>
          <t>Clash 杂志、VisitScotland 报道；阵容有 Kathryn Joseph、Rozi Plain、The Pastels、Billy Nomates；和心理健康慈善机构 Tiny Changes 合办</t>
        </is>
      </c>
      <c r="K26" s="5" t="inlineStr">
        <is>
          <t>https://www.clashmusic.com/live/pop-mutations-x-tiny-changes-confirm-intimate-glasgow-weekender ; https://www.popmutations.com/events/pop-mutations-x-tiny-changes</t>
        </is>
      </c>
      <c r="L26" s="5" t="inlineStr">
        <is>
          <t>独立、小众音乐爱好者的首选，都在市中心小场馆，氛围好，票价通常不高</t>
        </is>
      </c>
      <c r="M26" s="5" t="inlineStr">
        <is>
          <t>Glasgow City College / Glasgow Caledonian University / University of Strathclyde</t>
        </is>
      </c>
      <c r="N26" s="5" t="inlineStr">
        <is>
          <t>未取图：云端环境出站被拦（WebFetch EGRESS_BLOCKED），需在本地 Claude Code 补</t>
        </is>
      </c>
      <c r="O26" s="5" t="inlineStr">
        <is>
          <t>未完成</t>
        </is>
      </c>
    </row>
    <row r="27" ht="71.5" customHeight="1">
      <c r="A27" s="2" t="n"/>
      <c r="B27" s="3" t="n"/>
      <c r="C27" s="4" t="n"/>
      <c r="D27" s="2" t="inlineStr">
        <is>
          <t>Reverend and The Makers 演唱会</t>
        </is>
      </c>
      <c r="E27" s="2" t="inlineStr">
        <is>
          <t>Northumbria Students' Union, 2 Sandyford Road, Newcastle upon Tyne NE1 8SB</t>
        </is>
      </c>
      <c r="F27" s="2" t="inlineStr">
        <is>
          <t>exact</t>
        </is>
      </c>
      <c r="G27" s="5" t="inlineStr">
        <is>
          <t>14 Nov 2026（周六）19:00 开门</t>
        </is>
      </c>
      <c r="H27" s="5" t="inlineStr">
        <is>
          <t>年轻人娱乐(Live Music/独立摇滚)</t>
        </is>
      </c>
      <c r="I27" s="6" t="inlineStr">
        <is>
          <t>中热度</t>
        </is>
      </c>
      <c r="J27" s="5" t="inlineStr">
        <is>
          <t>SJM Concerts 主办，Ticketmaster / Songkick / Bandsintown 都有正式票务页；成熟乐队巡演</t>
        </is>
      </c>
      <c r="K27" s="5" t="inlineStr">
        <is>
          <t>https://www.songkick.com/concerts/43167629-reverend-and-the-makers-at-northumbria-students-union ; https://www.ents24.com/newcastle-upon-tyne-events/northumbria-university-students-union/reverend-and-the-makers/7473947</t>
        </is>
      </c>
      <c r="L27" s="5" t="inlineStr">
        <is>
          <t>就在 Northumbria 学生会里，在校生走路就到</t>
        </is>
      </c>
      <c r="M27" s="5" t="inlineStr">
        <is>
          <t>Newcastle university / Newcastle university 2 / Northumbria university</t>
        </is>
      </c>
      <c r="N27" s="5" t="inlineStr">
        <is>
          <t>未取图：云端环境出站被拦（WebFetch EGRESS_BLOCKED），需在本地 Claude Code 补</t>
        </is>
      </c>
      <c r="O27" s="5" t="inlineStr">
        <is>
          <t>未完成</t>
        </is>
      </c>
    </row>
    <row r="28" ht="58" customHeight="1">
      <c r="A28" s="2" t="n"/>
      <c r="B28" s="3" t="n"/>
      <c r="C28" s="4" t="n"/>
      <c r="D28" s="2" t="inlineStr">
        <is>
          <t>Phoebe Bridgers 演唱会（嘉宾 Isaac Wood、Anaïs）</t>
        </is>
      </c>
      <c r="E28" s="2" t="inlineStr">
        <is>
          <t>Co-op Live, Etihad Campus, Manchester</t>
        </is>
      </c>
      <c r="F28" s="2" t="inlineStr">
        <is>
          <t>venue_only</t>
        </is>
      </c>
      <c r="G28" s="5" t="inlineStr">
        <is>
          <t>26 Nov 2026（周四）</t>
        </is>
      </c>
      <c r="H28" s="5" t="inlineStr">
        <is>
          <t>年轻人娱乐(Live Music/独立)</t>
        </is>
      </c>
      <c r="I28" s="6" t="inlineStr">
        <is>
          <t>中热度</t>
        </is>
      </c>
      <c r="J28" s="5" t="inlineStr">
        <is>
          <t>Co-op Live 场馆日程和 Stereoboard 都列出；只看到列表信息，还没看到单场票务页</t>
        </is>
      </c>
      <c r="K28" s="5" t="inlineStr">
        <is>
          <t>https://www.cooplive.com/ ; https://www.stereoboard.com/venues/manchester/co-op-live</t>
        </is>
      </c>
      <c r="L28" s="5" t="inlineStr">
        <is>
          <t>独立乐迷的大场；推之前确认一下票务页</t>
        </is>
      </c>
      <c r="M28" s="5" t="inlineStr">
        <is>
          <t>The University of Manchester / Manchester Metropolitan University</t>
        </is>
      </c>
      <c r="N28" s="5" t="inlineStr">
        <is>
          <t>未取图：云端环境出站被拦（WebFetch EGRESS_BLOCKED），需在本地 Claude Code 补</t>
        </is>
      </c>
      <c r="O28" s="5" t="inlineStr">
        <is>
          <t>未完成</t>
        </is>
      </c>
    </row>
    <row r="29" ht="58" customHeight="1">
      <c r="A29" s="2" t="n"/>
      <c r="B29" s="3" t="n"/>
      <c r="C29" s="4" t="n"/>
      <c r="D29" s="2" t="inlineStr">
        <is>
          <t>Blossoms 演唱会（嘉宾 The Royston Club）</t>
        </is>
      </c>
      <c r="E29" s="2" t="inlineStr">
        <is>
          <t>Co-op Live, Etihad Campus, Manchester</t>
        </is>
      </c>
      <c r="F29" s="2" t="inlineStr">
        <is>
          <t>venue_only</t>
        </is>
      </c>
      <c r="G29" s="5" t="inlineStr">
        <is>
          <t>28 Nov 2026（周六）</t>
        </is>
      </c>
      <c r="H29" s="5" t="inlineStr">
        <is>
          <t>年轻人娱乐(Live Music/英伦独立)</t>
        </is>
      </c>
      <c r="I29" s="6" t="inlineStr">
        <is>
          <t>中热度</t>
        </is>
      </c>
      <c r="J29" s="5" t="inlineStr">
        <is>
          <t>Co-op Live 场馆日程列出；Blossoms 是大曼彻斯特本地乐队，主场演出</t>
        </is>
      </c>
      <c r="K29" s="5" t="inlineStr">
        <is>
          <t>https://www.cooplive.com/ ; https://www.jambase.com/venue/co-op-live-arena</t>
        </is>
      </c>
      <c r="L29" s="5" t="inlineStr">
        <is>
          <t>本地乐队的主场大秀，周六晚上</t>
        </is>
      </c>
      <c r="M29" s="5" t="inlineStr">
        <is>
          <t>The University of Manchester / Manchester Metropolitan University</t>
        </is>
      </c>
      <c r="N29" s="5" t="inlineStr">
        <is>
          <t>未取图：云端环境出站被拦（WebFetch EGRESS_BLOCKED），需在本地 Claude Code 补</t>
        </is>
      </c>
      <c r="O29" s="5" t="inlineStr">
        <is>
          <t>未完成</t>
        </is>
      </c>
    </row>
    <row r="30" ht="58" customHeight="1">
      <c r="A30" s="2" t="inlineStr">
        <is>
          <t>Page Turners Club</t>
        </is>
      </c>
      <c r="B30" s="3" t="inlineStr">
        <is>
          <t>待制作：Page Turners Club.png</t>
        </is>
      </c>
      <c r="C30" s="4" t="inlineStr">
        <is>
          <t>🔍 Event Radar (UK) — what's worth doing this month.
This month: BOOKS &amp; AUTHORS 👇
📚 Hay Festival Winter Weekend, Hay-on-Wye — 60+ writers in the town of books, 26–29 Nov.
📚 Cambridge Literary Festival (winter), Cambridge — a weekend of author talks, 21–22 Nov.</t>
        </is>
      </c>
      <c r="D30" s="2" t="inlineStr">
        <is>
          <t>Hay Festival Winter Weekend 2026</t>
        </is>
      </c>
      <c r="E30" s="2" t="inlineStr">
        <is>
          <t>Hay-on-Wye（主要场地 Hay Castle）, Powys</t>
        </is>
      </c>
      <c r="F30" s="2" t="inlineStr">
        <is>
          <t>venue_only</t>
        </is>
      </c>
      <c r="G30" s="5" t="inlineStr">
        <is>
          <t>26–29 Nov 2026（周四到周日；27 Nov 小镇圣诞亮灯）</t>
        </is>
      </c>
      <c r="H30" s="5" t="inlineStr">
        <is>
          <t>兴趣类(文学) + 一日游</t>
        </is>
      </c>
      <c r="I30" s="8" t="inlineStr">
        <is>
          <t>高热度</t>
        </is>
      </c>
      <c r="J30" s="5" t="inlineStr">
        <is>
          <t>Hay Festival 官网公布；60 多位作家、艺术家和表演者参加；书店小镇</t>
        </is>
      </c>
      <c r="K30" s="5" t="inlineStr">
        <is>
          <t>https://www.hayfestival.com/winter-weekend/home ; https://nation.cymru/culture/hay-festival-winter-weekend-2026-reveal-standout-programme-of-events/</t>
        </is>
      </c>
      <c r="L30" s="5" t="inlineStr">
        <is>
          <t>世界最有名的书店小镇，冬季周末规模小、更好订票</t>
        </is>
      </c>
      <c r="M30" s="5" t="inlineStr">
        <is>
          <t>Day Trip Buddies</t>
        </is>
      </c>
      <c r="N30" s="5" t="inlineStr">
        <is>
          <t>未取图：云端环境出站被拦（WebFetch EGRESS_BLOCKED），需在本地 Claude Code 补</t>
        </is>
      </c>
      <c r="O30" s="5" t="inlineStr">
        <is>
          <t>未完成</t>
        </is>
      </c>
    </row>
    <row r="31" ht="58" customHeight="1">
      <c r="A31" s="2" t="n"/>
      <c r="B31" s="3" t="n"/>
      <c r="C31" s="4" t="n"/>
      <c r="D31" s="2" t="inlineStr">
        <is>
          <t>Cambridge Literary Festival 冬季场</t>
        </is>
      </c>
      <c r="E31" s="2" t="inlineStr">
        <is>
          <t>Cambridge（场地看官网）</t>
        </is>
      </c>
      <c r="F31" s="2" t="inlineStr">
        <is>
          <t>city_only</t>
        </is>
      </c>
      <c r="G31" s="5" t="inlineStr">
        <is>
          <t>21–22 Nov 2026</t>
        </is>
      </c>
      <c r="H31" s="5" t="inlineStr">
        <is>
          <t>兴趣类(文学/讲座)</t>
        </is>
      </c>
      <c r="I31" s="6" t="inlineStr">
        <is>
          <t>中热度</t>
        </is>
      </c>
      <c r="J31" s="5" t="inlineStr">
        <is>
          <t>VisitBritain 文学节汇总列出；剑桥文学节的冬季周末</t>
        </is>
      </c>
      <c r="K31" s="5" t="inlineStr">
        <is>
          <t>https://www.visitbritain.com/en/things-to-do/explore-britains-best-literary-festivals</t>
        </is>
      </c>
      <c r="L31" s="5" t="inlineStr">
        <is>
          <t>作家讲座，适合书友组团；推之前确认节目单</t>
        </is>
      </c>
      <c r="M31" s="5" t="inlineStr">
        <is>
          <t>—</t>
        </is>
      </c>
      <c r="N31" s="5" t="inlineStr">
        <is>
          <t>未取图：云端环境出站被拦（WebFetch EGRESS_BLOCKED），需在本地 Claude Code 补</t>
        </is>
      </c>
      <c r="O31" s="5" t="inlineStr">
        <is>
          <t>未完成</t>
        </is>
      </c>
    </row>
    <row r="32" ht="58" customHeight="1">
      <c r="A32" s="2" t="inlineStr">
        <is>
          <t>Premier Fan Zone</t>
        </is>
      </c>
      <c r="B32" s="3" t="inlineStr">
        <is>
          <t>待制作：Premier Fan Zone.png</t>
        </is>
      </c>
      <c r="C32" s="4" t="inlineStr">
        <is>
          <t>🔍 Event Radar (UK) — what's worth doing this month.
This month: WATCH-ALONG FIXTURES 👇
⚽ Newcastle v Arsenal, St James' Park — a big Saturday-night PL clash (watch-along idea), 21 Nov.
⚽ Liverpool v Man United, Anfield — the biggest PL game of the month — perfect for a watch party, 22 Nov.
⚽ Arsenal v Man City, Emirates Stadium — a title-race showdown to watch together, 29 Nov.</t>
        </is>
      </c>
      <c r="D32" s="2" t="inlineStr">
        <is>
          <t>纽卡斯尔 vs 阿森纳（英超）</t>
        </is>
      </c>
      <c r="E32" s="2" t="inlineStr">
        <is>
          <t>St James' Park, Barrack Road, Newcastle upon Tyne NE1 4ST</t>
        </is>
      </c>
      <c r="F32" s="2" t="inlineStr">
        <is>
          <t>exact</t>
        </is>
      </c>
      <c r="G32" s="5" t="inlineStr">
        <is>
          <t>21 Nov 2026（周六）17:30</t>
        </is>
      </c>
      <c r="H32" s="5" t="inlineStr">
        <is>
          <t>年轻人娱乐(足球观赛)</t>
        </is>
      </c>
      <c r="I32" s="7" t="inlineStr">
        <is>
          <t>潜在价值</t>
        </is>
      </c>
      <c r="J32" s="5" t="inlineStr">
        <is>
          <t>英超官方赛程调整公告确认时间；⚠️门票基本只卖给会员，散客很难买到</t>
        </is>
      </c>
      <c r="K32" s="5" t="inlineStr">
        <is>
          <t>https://www.premierleague.com/en/news/4725574/fixture-amendments-for-premier-league-matches-in-november</t>
        </is>
      </c>
      <c r="L32" s="5" t="inlineStr">
        <is>
          <t>买不到票可以组织群友去酒吧看直播</t>
        </is>
      </c>
      <c r="M32" s="5" t="inlineStr">
        <is>
          <t>—</t>
        </is>
      </c>
      <c r="N32" s="5" t="inlineStr">
        <is>
          <t>未取图：云端环境出站被拦（WebFetch EGRESS_BLOCKED），需在本地 Claude Code 补</t>
        </is>
      </c>
      <c r="O32" s="5" t="inlineStr">
        <is>
          <t>未完成</t>
        </is>
      </c>
    </row>
    <row r="33" ht="58" customHeight="1">
      <c r="A33" s="2" t="n"/>
      <c r="B33" s="3" t="n"/>
      <c r="C33" s="4" t="n"/>
      <c r="D33" s="2" t="inlineStr">
        <is>
          <t>利物浦 vs 曼联（英超）</t>
        </is>
      </c>
      <c r="E33" s="2" t="inlineStr">
        <is>
          <t>Anfield, Anfield Road, Liverpool L4 0TH</t>
        </is>
      </c>
      <c r="F33" s="2" t="inlineStr">
        <is>
          <t>exact</t>
        </is>
      </c>
      <c r="G33" s="5" t="inlineStr">
        <is>
          <t>22 Nov 2026（周日）16:30</t>
        </is>
      </c>
      <c r="H33" s="5" t="inlineStr">
        <is>
          <t>年轻人娱乐(足球观赛)</t>
        </is>
      </c>
      <c r="I33" s="7" t="inlineStr">
        <is>
          <t>潜在价值</t>
        </is>
      </c>
      <c r="J33" s="5" t="inlineStr">
        <is>
          <t>英超官方赛程调整公告确认时间（另有来源写 21 Nov，是调整前的）；⚠️门票基本只卖给会员</t>
        </is>
      </c>
      <c r="K33" s="5" t="inlineStr">
        <is>
          <t>https://www.premierleague.com/en/news/4725574/fixture-amendments-for-premier-league-matches-in-november</t>
        </is>
      </c>
      <c r="L33" s="5" t="inlineStr">
        <is>
          <t>本月最大的一场比赛，适合组织观赛</t>
        </is>
      </c>
      <c r="M33" s="5" t="inlineStr">
        <is>
          <t>—</t>
        </is>
      </c>
      <c r="N33" s="5" t="inlineStr">
        <is>
          <t>未取图：云端环境出站被拦（WebFetch EGRESS_BLOCKED），需在本地 Claude Code 补</t>
        </is>
      </c>
      <c r="O33" s="5" t="inlineStr">
        <is>
          <t>未完成</t>
        </is>
      </c>
    </row>
    <row r="34" ht="58" customHeight="1">
      <c r="A34" s="2" t="n"/>
      <c r="B34" s="3" t="n"/>
      <c r="C34" s="4" t="n"/>
      <c r="D34" s="2" t="inlineStr">
        <is>
          <t>阿森纳 vs 曼城（英超）</t>
        </is>
      </c>
      <c r="E34" s="2" t="inlineStr">
        <is>
          <t>Emirates Stadium, Hornsey Road, London N7 7AJ</t>
        </is>
      </c>
      <c r="F34" s="2" t="inlineStr">
        <is>
          <t>exact</t>
        </is>
      </c>
      <c r="G34" s="5" t="inlineStr">
        <is>
          <t>29 Nov 2026（周日）16:30</t>
        </is>
      </c>
      <c r="H34" s="5" t="inlineStr">
        <is>
          <t>年轻人娱乐(足球观赛)</t>
        </is>
      </c>
      <c r="I34" s="7" t="inlineStr">
        <is>
          <t>潜在价值</t>
        </is>
      </c>
      <c r="J34" s="5" t="inlineStr">
        <is>
          <t>英超官方赛程调整公告确认时间；⚠️门票基本只卖给会员</t>
        </is>
      </c>
      <c r="K34" s="5" t="inlineStr">
        <is>
          <t>https://www.premierleague.com/en/news/4725574/fixture-amendments-for-premier-league-matches-in-november</t>
        </is>
      </c>
      <c r="L34" s="5" t="inlineStr">
        <is>
          <t>争冠关键战，适合组织观赛</t>
        </is>
      </c>
      <c r="M34" s="5" t="inlineStr">
        <is>
          <t>—</t>
        </is>
      </c>
      <c r="N34" s="5" t="inlineStr">
        <is>
          <t>未取图：云端环境出站被拦（WebFetch EGRESS_BLOCKED），需在本地 Claude Code 补</t>
        </is>
      </c>
      <c r="O34" s="5" t="inlineStr">
        <is>
          <t>未完成</t>
        </is>
      </c>
    </row>
    <row r="35" ht="85" customHeight="1">
      <c r="A35" s="2" t="inlineStr">
        <is>
          <t>Reel Talk Club</t>
        </is>
      </c>
      <c r="B35" s="3" t="inlineStr">
        <is>
          <t>待制作：Reel Talk Club.png</t>
        </is>
      </c>
      <c r="C35" s="4" t="inlineStr">
        <is>
          <t>🔍 Event Radar (UK) — what's worth doing this month.
This month: FILM 👇
🎬 Leeds International Film Festival, Leeds — the 40th edition at Hyde Park Picture House &amp; more, to 15 Nov.
🏔️ Kendal Mountain Festival, Kendal — 200+ talks, 150+ adventure films &amp; parties, 19–22 Nov.
🎬 London Korean Film Festival, BFI Southbank, ICA &amp; Ciné Lumière — the 21st edition of the best new Korean cinema, 2–16 Nov.
🎞️ Edinburgh Short Film Festival, Edinburgh — bite-size screenings for film lovers, 6–22 Nov.</t>
        </is>
      </c>
      <c r="D35" s="2" t="inlineStr">
        <is>
          <t>Leeds International Film Festival（第 40 届）</t>
        </is>
      </c>
      <c r="E35" s="2" t="inlineStr">
        <is>
          <t>Hyde Park Picture House, 73 Brudenell Road, Leeds LS6 1JD / Everyman Leeds 等多个影院</t>
        </is>
      </c>
      <c r="F35" s="2" t="inlineStr">
        <is>
          <t>venue_only</t>
        </is>
      </c>
      <c r="G35" s="5" t="inlineStr">
        <is>
          <t>29 Oct – 15 Nov 2026（窗口内为 1–15 Nov）</t>
        </is>
      </c>
      <c r="H35" s="5" t="inlineStr">
        <is>
          <t>电影/媒体</t>
        </is>
      </c>
      <c r="I35" s="8" t="inlineStr">
        <is>
          <t>高热度</t>
        </is>
      </c>
      <c r="J35" s="5" t="inlineStr">
        <is>
          <t>第 40 届，英国历史最悠久的电影节之一；10/1 节目上线、10/8 单片开票（YEP 报道）</t>
        </is>
      </c>
      <c r="K35" s="5" t="inlineStr">
        <is>
          <t>https://www.leedsfilm.com/liff-2026-6ftb ; https://www.yorkshireeveningpost.co.uk/whats-on/arts-and-entertainment/leeds-international-film-festival-2026-opening-films-liff-40th-9021020</t>
        </is>
      </c>
      <c r="L35" s="5" t="inlineStr">
        <is>
          <t>Hyde Park Picture House 就在 Leeds 大学学生区旁边；几乎整个窗口期都有放映</t>
        </is>
      </c>
      <c r="M35" s="5" t="inlineStr">
        <is>
          <t>Leeds Uni Student Hub / Leeds University group 2 / Leeds University group 3 / Leeds University group 4 / Leeds University group 5 / Leeds University group 6 / Leeds University group 7</t>
        </is>
      </c>
      <c r="N35" s="5" t="inlineStr">
        <is>
          <t>未取图：云端环境出站被拦（WebFetch EGRESS_BLOCKED），需在本地 Claude Code 补</t>
        </is>
      </c>
      <c r="O35" s="5" t="inlineStr">
        <is>
          <t>未完成</t>
        </is>
      </c>
    </row>
    <row r="36" ht="58" customHeight="1">
      <c r="A36" s="2" t="n"/>
      <c r="B36" s="3" t="n"/>
      <c r="C36" s="4" t="n"/>
      <c r="D36" s="2" t="inlineStr">
        <is>
          <t>Kendal Mountain Festival 2026（户外电影 + 讲座 + 文学）</t>
        </is>
      </c>
      <c r="E36" s="2" t="inlineStr">
        <is>
          <t>Kendal, Cumbria（多个场地，节目单见 kendalmountainfestival.com）</t>
        </is>
      </c>
      <c r="F36" s="2" t="inlineStr">
        <is>
          <t>city_only</t>
        </is>
      </c>
      <c r="G36" s="5" t="inlineStr">
        <is>
          <t>19–22 Nov 2026（周四到周日）</t>
        </is>
      </c>
      <c r="H36" s="5" t="inlineStr">
        <is>
          <t>运动户外 + 电影/媒体</t>
        </is>
      </c>
      <c r="I36" s="8" t="inlineStr">
        <is>
          <t>高热度</t>
        </is>
      </c>
      <c r="J36" s="5" t="inlineStr">
        <is>
          <t>英国最大的户外山地节：200 多场活动、300 多位讲者、150 多部电影、10 多场派对（主办方数据）；年年举办</t>
        </is>
      </c>
      <c r="K36" s="5" t="inlineStr">
        <is>
          <t>https://www.kendalmountainfestival.com/ ; https://kendalbid.co.uk/event/kendal-mountain-festival-2026/</t>
        </is>
      </c>
      <c r="L36" s="5" t="inlineStr">
        <is>
          <t>户外迷必去；离 Lancaster 约 35 公里，火车可达；也有线上片单</t>
        </is>
      </c>
      <c r="M36" s="5" t="inlineStr">
        <is>
          <t>Day Trip Buddies；Outdoor Adventure Club；University of Lancaster</t>
        </is>
      </c>
      <c r="N36" s="5" t="inlineStr">
        <is>
          <t>未取图：云端环境出站被拦（WebFetch EGRESS_BLOCKED），需在本地 Claude Code 补</t>
        </is>
      </c>
      <c r="O36" s="5" t="inlineStr">
        <is>
          <t>未完成</t>
        </is>
      </c>
    </row>
    <row r="37" ht="71.5" customHeight="1">
      <c r="A37" s="2" t="n"/>
      <c r="B37" s="3" t="n"/>
      <c r="C37" s="4" t="n"/>
      <c r="D37" s="2" t="inlineStr">
        <is>
          <t>London Korean Film Festival 2026（第 21 届）</t>
        </is>
      </c>
      <c r="E37" s="2" t="inlineStr">
        <is>
          <t>BFI Southbank（Belvedere Road, SE1 8XT）/ Ciné Lumière（17 Queensberry Place, SW7）/ ICA（The Mall, SW1）</t>
        </is>
      </c>
      <c r="F37" s="2" t="inlineStr">
        <is>
          <t>venue_only</t>
        </is>
      </c>
      <c r="G37" s="5" t="inlineStr">
        <is>
          <t>2–16 Nov 2026（开幕 2 Nov，闭幕 16 Nov）</t>
        </is>
      </c>
      <c r="H37" s="5" t="inlineStr">
        <is>
          <t>电影/媒体</t>
        </is>
      </c>
      <c r="I37" s="6" t="inlineStr">
        <is>
          <t>中热度</t>
        </is>
      </c>
      <c r="J37" s="5" t="inlineStr">
        <is>
          <t>韩国文化院主办，第 21 届；BFI 官方页面收录；开幕片《The Journey to Gyeong-ju》，3 Nov BFI 有李沧东新作《Possible Love》提前放映</t>
        </is>
      </c>
      <c r="K37" s="5" t="inlineStr">
        <is>
          <t>https://www.koreanfilm.co.uk/london-korean-film-festival-2026-full-programme-announcement/ ; https://whatson.bfi.org.uk/Online/article/london-korean-film-festival-2026</t>
        </is>
      </c>
      <c r="L37" s="5" t="inlineStr">
        <is>
          <t>韩影迷不容错过；场地都在市中心，学生票通常便宜</t>
        </is>
      </c>
      <c r="M37" s="5" t="inlineStr">
        <is>
          <t>UCL Hub / UCL / IC Collective / Royal College of Art / King's College London / London School of Economics / Queen Mary University of London</t>
        </is>
      </c>
      <c r="N37" s="5" t="inlineStr">
        <is>
          <t>未取图：云端环境出站被拦（WebFetch EGRESS_BLOCKED），需在本地 Claude Code 补</t>
        </is>
      </c>
      <c r="O37" s="5" t="inlineStr">
        <is>
          <t>未完成</t>
        </is>
      </c>
    </row>
    <row r="38" ht="58" customHeight="1">
      <c r="A38" s="2" t="n"/>
      <c r="B38" s="3" t="n"/>
      <c r="C38" s="4" t="n"/>
      <c r="D38" s="2" t="inlineStr">
        <is>
          <t>Edinburgh Short Film Festival（第 16 届）</t>
        </is>
      </c>
      <c r="E38" s="2" t="inlineStr">
        <is>
          <t>Filmhouse, 88 Lothian Road, Edinburgh EH3 9BZ / Summerhall, Edinburgh</t>
        </is>
      </c>
      <c r="F38" s="2" t="inlineStr">
        <is>
          <t>exact</t>
        </is>
      </c>
      <c r="G38" s="5" t="inlineStr">
        <is>
          <t>6–22 Nov 2026</t>
        </is>
      </c>
      <c r="H38" s="5" t="inlineStr">
        <is>
          <t>电影/媒体</t>
        </is>
      </c>
      <c r="I38" s="7" t="inlineStr">
        <is>
          <t>潜在价值</t>
        </is>
      </c>
      <c r="J38" s="5" t="inlineStr">
        <is>
          <t>已办到第 16 届，在 FilmFreeway / Festhome 正规征片；没搜到售票数据</t>
        </is>
      </c>
      <c r="K38" s="5" t="inlineStr">
        <is>
          <t>https://filmfreeway.com/EdinburghShortFilmFestival ; https://www.awn.com/event/edinburgh-short-film-festival-2026</t>
        </is>
      </c>
      <c r="L38" s="5" t="inlineStr">
        <is>
          <t>短片放映门槛低，适合电影爱好者和传媒专业学生；具体场地和场次要看官网</t>
        </is>
      </c>
      <c r="M38" s="5" t="inlineStr">
        <is>
          <t>Heriot-Watt University / University of Edinburgh Freshers 2026</t>
        </is>
      </c>
      <c r="N38" s="5" t="inlineStr">
        <is>
          <t>未取图：云端环境出站被拦（WebFetch EGRESS_BLOCKED），需在本地 Claude Code 补</t>
        </is>
      </c>
      <c r="O38" s="5" t="inlineStr">
        <is>
          <t>未完成</t>
        </is>
      </c>
    </row>
    <row r="39" ht="71.5" customHeight="1">
      <c r="A39" s="2" t="inlineStr">
        <is>
          <t>Snack Finds &amp; Picks</t>
        </is>
      </c>
      <c r="B39" s="3" t="inlineStr">
        <is>
          <t>待制作：Snack Finds &amp; Picks.png</t>
        </is>
      </c>
      <c r="C39" s="4" t="inlineStr">
        <is>
          <t>🔍 Event Radar (UK) — what's worth doing this month.
This month: FESTIVE FOOD 👇
🎄 Frankfurt Christmas Market, Birmingham — German food &amp; mulled wine by New Street, from 5 Nov.
🍽️ Festive Good Food Show, NEC Birmingham — celebrity chefs, tastings &amp; Christmas food shopping, 26–29 Nov.</t>
        </is>
      </c>
      <c r="D39" s="2" t="inlineStr">
        <is>
          <t>Birmingham's Frankfurt Christmas Market 2026</t>
        </is>
      </c>
      <c r="E39" s="2" t="inlineStr">
        <is>
          <t>Victoria Square &amp; New Street（Corporation Street 至 Bullring 段）, Birmingham city centre</t>
        </is>
      </c>
      <c r="F39" s="2" t="inlineStr">
        <is>
          <t>venue_only</t>
        </is>
      </c>
      <c r="G39" s="5" t="inlineStr">
        <is>
          <t>5 Nov – 24 Dec 2026（窗口内为 5–30 Nov；8 Nov 纪念日星期天 13:00 开）</t>
        </is>
      </c>
      <c r="H39" s="5" t="inlineStr">
        <is>
          <t>本地生活类(集市/美食)</t>
        </is>
      </c>
      <c r="I39" s="8" t="inlineStr">
        <is>
          <t>高热度</t>
        </is>
      </c>
      <c r="J39" s="5" t="inlineStr">
        <is>
          <t>伯明翰市议会官方公布日期；年年举办，号称德国、奥地利以外最大的正宗德式圣诞市集（主办方说法）</t>
        </is>
      </c>
      <c r="K39" s="5" t="inlineStr">
        <is>
          <t>https://www.birmingham.gov.uk/news/article/1841/birminghams_frankfurt_christmas_market_dates_confirmed ; https://thebfcm.co.uk/ ; https://www.centralbid.co.uk/events/birminghams-frankfurt-christmas-market-2026/</t>
        </is>
      </c>
      <c r="L39" s="5" t="inlineStr">
        <is>
          <t>免费入场，就在 New Street 站旁，吃喝逛一站搞定</t>
        </is>
      </c>
      <c r="M39" s="5" t="inlineStr">
        <is>
          <t>BCU Fresher Hub 2026 / Aston Fresher Hub 2026 / SCCB| Birmingham Student Life / UCB Student Life</t>
        </is>
      </c>
      <c r="N39" s="5" t="inlineStr">
        <is>
          <t>未取图：云端环境出站被拦（WebFetch EGRESS_BLOCKED），需在本地 Claude Code 补</t>
        </is>
      </c>
      <c r="O39" s="5" t="inlineStr">
        <is>
          <t>未完成</t>
        </is>
      </c>
    </row>
    <row r="40" ht="58" customHeight="1">
      <c r="A40" s="2" t="n"/>
      <c r="B40" s="3" t="n"/>
      <c r="C40" s="4" t="n"/>
      <c r="D40" s="2" t="inlineStr">
        <is>
          <t>Festive Good Food Show（BBC Good Food Show Winter）</t>
        </is>
      </c>
      <c r="E40" s="2" t="inlineStr">
        <is>
          <t>NEC Birmingham, Halls 17–20, North Avenue, Marston Green, Birmingham B40 1NT</t>
        </is>
      </c>
      <c r="F40" s="2" t="inlineStr">
        <is>
          <t>exact</t>
        </is>
      </c>
      <c r="G40" s="5" t="inlineStr">
        <is>
          <t>26–29 Nov 2026（周四到周六 9:30–17:30，周日到 17:00）</t>
        </is>
      </c>
      <c r="H40" s="5" t="inlineStr">
        <is>
          <t>本地生活类(美食展)</t>
        </is>
      </c>
      <c r="I40" s="8" t="inlineStr">
        <is>
          <t>高热度</t>
        </is>
      </c>
      <c r="J40" s="5" t="inlineStr">
        <is>
          <t>英国最大的冬季美食展，年年在 NEC 办；NEC 和主办方官网都列出</t>
        </is>
      </c>
      <c r="K40" s="5" t="inlineStr">
        <is>
          <t>https://www.goodfoodshow.com/winter/ ; https://thenec.co.uk/events/good-food-show-winter</t>
        </is>
      </c>
      <c r="L40" s="5" t="inlineStr">
        <is>
          <t>试吃、名厨现场烹饪、圣诞美食采购一次搞定；NEC 有火车站（Birmingham International），票价看官网</t>
        </is>
      </c>
      <c r="M40" s="5" t="inlineStr">
        <is>
          <t>UK Food Lovers；BCU Fresher Hub 2026 / Aston Fresher Hub 2026 / SCCB| Birmingham Student Life / UCB Student Life</t>
        </is>
      </c>
      <c r="N40" s="5" t="inlineStr">
        <is>
          <t>未取图：云端环境出站被拦（WebFetch EGRESS_BLOCKED），需在本地 Claude Code 补</t>
        </is>
      </c>
      <c r="O40" s="5" t="inlineStr">
        <is>
          <t>未完成</t>
        </is>
      </c>
    </row>
    <row r="41" ht="60" customHeight="1">
      <c r="A41" s="2" t="inlineStr">
        <is>
          <t>Outdoor Adventure Club</t>
        </is>
      </c>
      <c r="B41" s="3" t="inlineStr">
        <is>
          <t>待制作：Outdoor Adventure Club.png</t>
        </is>
      </c>
      <c r="C41" s="4" t="inlineStr">
        <is>
          <t>🔍 Event Radar (UK) — what's worth doing this month.
This month: MOUNTAINS &amp; ADVENTURE 👇
🏔️ Kendal Mountain Festival, Kendal — 200+ talks, 150+ adventure films &amp; parties, 19–22 Nov.</t>
        </is>
      </c>
      <c r="D41" s="2" t="inlineStr">
        <is>
          <t>Kendal Mountain Festival 2026（户外电影 + 讲座 + 文学）</t>
        </is>
      </c>
      <c r="E41" s="2" t="inlineStr">
        <is>
          <t>Kendal, Cumbria（多个场地，节目单见 kendalmountainfestival.com）</t>
        </is>
      </c>
      <c r="F41" s="2" t="inlineStr">
        <is>
          <t>city_only</t>
        </is>
      </c>
      <c r="G41" s="5" t="inlineStr">
        <is>
          <t>19–22 Nov 2026（周四到周日）</t>
        </is>
      </c>
      <c r="H41" s="5" t="inlineStr">
        <is>
          <t>运动户外 + 电影/媒体</t>
        </is>
      </c>
      <c r="I41" s="8" t="inlineStr">
        <is>
          <t>高热度</t>
        </is>
      </c>
      <c r="J41" s="5" t="inlineStr">
        <is>
          <t>英国最大的户外山地节：200 多场活动、300 多位讲者、150 多部电影、10 多场派对（主办方数据）；年年举办</t>
        </is>
      </c>
      <c r="K41" s="5" t="inlineStr">
        <is>
          <t>https://www.kendalmountainfestival.com/ ; https://kendalbid.co.uk/event/kendal-mountain-festival-2026/</t>
        </is>
      </c>
      <c r="L41" s="5" t="inlineStr">
        <is>
          <t>户外迷必去；离 Lancaster 约 35 公里，火车可达；也有线上片单</t>
        </is>
      </c>
      <c r="M41" s="5" t="inlineStr">
        <is>
          <t>Day Trip Buddies；Reel Talk Club；University of Lancaster</t>
        </is>
      </c>
      <c r="N41" s="5" t="inlineStr">
        <is>
          <t>未取图：云端环境出站被拦（WebFetch EGRESS_BLOCKED），需在本地 Claude Code 补</t>
        </is>
      </c>
      <c r="O41" s="5" t="inlineStr">
        <is>
          <t>未完成</t>
        </is>
      </c>
    </row>
    <row r="42" ht="73.5" customHeight="1">
      <c r="A42" s="2" t="inlineStr">
        <is>
          <t>Swim Wave Tribe</t>
        </is>
      </c>
      <c r="B42" s="3" t="inlineStr">
        <is>
          <t>待制作：Swim Wave Tribe.png</t>
        </is>
      </c>
      <c r="C42" s="4" t="inlineStr">
        <is>
          <t>🔍 Event Radar (UK) — what's worth doing this month.
This month: COLD WATER SWIMMING 👇
🏊 Cold Water Swims at Lido Ponty, Pontypridd — 15°C weekend swims for beginners (16+), weekends to 28 Nov.</t>
        </is>
      </c>
      <c r="D42" s="2" t="inlineStr">
        <is>
          <t>Lido Ponty 冷水游泳场（National Lido of Wales）</t>
        </is>
      </c>
      <c r="E42" s="2" t="inlineStr">
        <is>
          <t>Lido Ponty, Ynysangharad War Memorial Park, Pontypridd CF37 4PE</t>
        </is>
      </c>
      <c r="F42" s="2" t="inlineStr">
        <is>
          <t>exact</t>
        </is>
      </c>
      <c r="G42" s="5" t="inlineStr">
        <is>
          <t>24 Oct – 28 Nov 2026，只在周末开（窗口内为 1–28 Nov）</t>
        </is>
      </c>
      <c r="H42" s="5" t="inlineStr">
        <is>
          <t>运动户外(游泳)</t>
        </is>
      </c>
      <c r="I42" s="6" t="inlineStr">
        <is>
          <t>中热度</t>
        </is>
      </c>
      <c r="J42" s="5" t="inlineStr">
        <is>
          <t>2026 年 9 月公告：冷水游泳周末场回归，水温降到 15°C，16 岁以上都能参加</t>
        </is>
      </c>
      <c r="K42" s="5" t="inlineStr">
        <is>
          <t>https://gtfm.co.uk/cold-water-swims-return-to-the-national-lido-of-wales-lido-ponty/</t>
        </is>
      </c>
      <c r="L42" s="5" t="inlineStr">
        <is>
          <t>入门级冷水游泳，有救生员；离卡迪夫约 20 公里，火车可达</t>
        </is>
      </c>
      <c r="M42" s="5" t="inlineStr">
        <is>
          <t>—</t>
        </is>
      </c>
      <c r="N42" s="5" t="inlineStr">
        <is>
          <t>未取图：云端环境出站被拦（WebFetch EGRESS_BLOCKED），需在本地 Claude Code 补</t>
        </is>
      </c>
      <c r="O42" s="5" t="inlineStr">
        <is>
          <t>未完成</t>
        </is>
      </c>
    </row>
    <row r="43" ht="60" customHeight="1">
      <c r="A43" s="2" t="inlineStr">
        <is>
          <t>Tennis Rally Crew</t>
        </is>
      </c>
      <c r="B43" s="3" t="inlineStr">
        <is>
          <t>待制作：Tennis Rally Crew.png</t>
        </is>
      </c>
      <c r="C43" s="4" t="inlineStr">
        <is>
          <t>🔍 Event Radar (UK) — what's worth doing this month.
This month: TENNIS 👇
🎾 LTA Adult Matchplay, London parks — graded matches for players who want a real game, 8 / 14 / 28 Nov.</t>
        </is>
      </c>
      <c r="D43" s="2" t="inlineStr">
        <is>
          <t>LTA Adult Matchplay 业余网球赛（伦敦公园场）</t>
        </is>
      </c>
      <c r="E43" s="2" t="inlineStr">
        <is>
          <t>Gladstone Park（8 Nov）/ Burgess Park（14 Nov）/ Stratford Park（28 Nov）, London</t>
        </is>
      </c>
      <c r="F43" s="2" t="inlineStr">
        <is>
          <t>venue_only</t>
        </is>
      </c>
      <c r="G43" s="5" t="inlineStr">
        <is>
          <t>8 / 14 / 28 Nov 2026</t>
        </is>
      </c>
      <c r="H43" s="5" t="inlineStr">
        <is>
          <t>运动户外(网球)</t>
        </is>
      </c>
      <c r="I43" s="7" t="inlineStr">
        <is>
          <t>潜在价值</t>
        </is>
      </c>
      <c r="J43" s="5" t="inlineStr">
        <is>
          <t>National Tennis 赛事列表列出，在 LTA 报名；是有分级的比赛，不是休闲社交局</t>
        </is>
      </c>
      <c r="K43" s="5" t="inlineStr">
        <is>
          <t>https://nationaltennis.org.uk/play/competitions</t>
        </is>
      </c>
      <c r="L43" s="5" t="inlineStr">
        <is>
          <t>想打正式比赛的群友可以报；本月没找到休闲网球社交活动</t>
        </is>
      </c>
      <c r="M43" s="5" t="inlineStr">
        <is>
          <t>—</t>
        </is>
      </c>
      <c r="N43" s="5" t="inlineStr">
        <is>
          <t>未取图：云端环境出站被拦（WebFetch EGRESS_BLOCKED），需在本地 Claude Code 补</t>
        </is>
      </c>
      <c r="O43" s="5" t="inlineStr">
        <is>
          <t>未完成</t>
        </is>
      </c>
    </row>
    <row r="44" ht="71.5" customHeight="1">
      <c r="A44" s="2" t="inlineStr">
        <is>
          <t>UK Food Lovers</t>
        </is>
      </c>
      <c r="B44" s="3" t="inlineStr">
        <is>
          <t>待制作：UK Food Lovers.png</t>
        </is>
      </c>
      <c r="C44" s="4" t="inlineStr">
        <is>
          <t>🔍 Event Radar (UK) — what's worth doing this month.
This month: FESTIVE FOOD 👇
🎄 Manchester Christmas Markets, Manchester city centre — the markets are back, free to wander, from 6 Nov.
🍽️ Festive Good Food Show, NEC Birmingham — celebrity chefs, tastings &amp; Christmas food shopping, 26–29 Nov.</t>
        </is>
      </c>
      <c r="D44" s="2" t="inlineStr">
        <is>
          <t>Manchester Christmas Markets 2026</t>
        </is>
      </c>
      <c r="E44" s="2" t="inlineStr">
        <is>
          <t>Albert Square / Cathedral Gardens / Exchange Square 等，Manchester city centre</t>
        </is>
      </c>
      <c r="F44" s="2" t="inlineStr">
        <is>
          <t>venue_only</t>
        </is>
      </c>
      <c r="G44" s="5" t="inlineStr">
        <is>
          <t>6 Nov – 22 Dec 2026（窗口内为 6–30 Nov）</t>
        </is>
      </c>
      <c r="H44" s="5" t="inlineStr">
        <is>
          <t>本地生活类(集市/美食)</t>
        </is>
      </c>
      <c r="I44" s="8" t="inlineStr">
        <is>
          <t>高热度</t>
        </is>
      </c>
      <c r="J44" s="5" t="inlineStr">
        <is>
          <t>年年举办的全英知名圣诞市集，The Manc 报道了 2026 年开市日期和新增点位</t>
        </is>
      </c>
      <c r="K44" s="5" t="inlineStr">
        <is>
          <t>https://themanc.com/news/manchester-christmas-markets-2026-opening-date-announced-including-new-spots/ ; https://www.visitmanchester.com/whats-on/whats-on-this-christmas-in-manchester/</t>
        </is>
      </c>
      <c r="L44" s="5" t="inlineStr">
        <is>
          <t>免费入场，市中心多个点位，逛吃一条龙</t>
        </is>
      </c>
      <c r="M44" s="5" t="inlineStr">
        <is>
          <t>The University of Manchester / Manchester Metropolitan University</t>
        </is>
      </c>
      <c r="N44" s="5" t="inlineStr">
        <is>
          <t>未取图：云端环境出站被拦（WebFetch EGRESS_BLOCKED），需在本地 Claude Code 补</t>
        </is>
      </c>
      <c r="O44" s="5" t="inlineStr">
        <is>
          <t>未完成</t>
        </is>
      </c>
    </row>
    <row r="45" ht="58" customHeight="1">
      <c r="A45" s="2" t="n"/>
      <c r="B45" s="3" t="n"/>
      <c r="C45" s="4" t="n"/>
      <c r="D45" s="2" t="inlineStr">
        <is>
          <t>Festive Good Food Show（BBC Good Food Show Winter）</t>
        </is>
      </c>
      <c r="E45" s="2" t="inlineStr">
        <is>
          <t>NEC Birmingham, Halls 17–20, North Avenue, Marston Green, Birmingham B40 1NT</t>
        </is>
      </c>
      <c r="F45" s="2" t="inlineStr">
        <is>
          <t>exact</t>
        </is>
      </c>
      <c r="G45" s="5" t="inlineStr">
        <is>
          <t>26–29 Nov 2026（周四到周六 9:30–17:30，周日到 17:00）</t>
        </is>
      </c>
      <c r="H45" s="5" t="inlineStr">
        <is>
          <t>本地生活类(美食展)</t>
        </is>
      </c>
      <c r="I45" s="8" t="inlineStr">
        <is>
          <t>高热度</t>
        </is>
      </c>
      <c r="J45" s="5" t="inlineStr">
        <is>
          <t>英国最大的冬季美食展，年年在 NEC 办；NEC 和主办方官网都列出</t>
        </is>
      </c>
      <c r="K45" s="5" t="inlineStr">
        <is>
          <t>https://www.goodfoodshow.com/winter/ ; https://thenec.co.uk/events/good-food-show-winter</t>
        </is>
      </c>
      <c r="L45" s="5" t="inlineStr">
        <is>
          <t>试吃、名厨现场烹饪、圣诞美食采购一次搞定；NEC 有火车站（Birmingham International），票价看官网</t>
        </is>
      </c>
      <c r="M45" s="5" t="inlineStr">
        <is>
          <t>Snack Finds &amp; Picks；BCU Fresher Hub 2026 / Aston Fresher Hub 2026 / SCCB| Birmingham Student Life / UCB Student Life</t>
        </is>
      </c>
      <c r="N45" s="5" t="inlineStr">
        <is>
          <t>未取图：云端环境出站被拦（WebFetch EGRESS_BLOCKED），需在本地 Claude Code 补</t>
        </is>
      </c>
      <c r="O45" s="5" t="inlineStr">
        <is>
          <t>未完成</t>
        </is>
      </c>
    </row>
    <row r="46" ht="60" customHeight="1">
      <c r="A46" s="2" t="inlineStr">
        <is>
          <t>Valorant Riot Crew</t>
        </is>
      </c>
      <c r="B46" s="3" t="inlineStr">
        <is>
          <t>待制作：Valorant Riot Crew.png</t>
        </is>
      </c>
      <c r="C46" s="4" t="inlineStr">
        <is>
          <t>🔍 Event Radar (UK) — what's worth doing this month.
This month: VALORANT &amp; LAN 👇
🎯 EPIC49 LAN, Kettering — VALORANT tournament finals day (BYOC ticket needed), 1 Nov.</t>
        </is>
      </c>
      <c r="D46" s="2" t="inlineStr">
        <is>
          <t>EPIC49 LAN Party（含 CS2 / VALORANT / StarCraft II / osu! 锦标赛）</t>
        </is>
      </c>
      <c r="E46" s="2" t="inlineStr">
        <is>
          <t>Arena Sports, Kettering Leisure Village, Thurston Drive, Kettering NN15 6PB</t>
        </is>
      </c>
      <c r="F46" s="2" t="inlineStr">
        <is>
          <t>exact</t>
        </is>
      </c>
      <c r="G46" s="5" t="inlineStr">
        <is>
          <t>29 Oct 16:00 – 1 Nov 16:00 2026（窗口内只有 1 Nov 决赛日）</t>
        </is>
      </c>
      <c r="H46" s="5" t="inlineStr">
        <is>
          <t>年轻人娱乐(电竞/LAN)</t>
        </is>
      </c>
      <c r="I46" s="8" t="inlineStr">
        <is>
          <t>高热度</t>
        </is>
      </c>
      <c r="J46" s="5" t="inlineStr">
        <is>
          <t>英国老牌 LAN 系列，已办到第 49 届，每年两届；这届 700 个电脑位；官网有 EPIC49 专页，赛事项目包括 CS2 和 VALORANT</t>
        </is>
      </c>
      <c r="K46" s="5" t="inlineStr">
        <is>
          <t>https://www.epiclan.co.uk/epic49 ; https://www.yorkshirepudd.co.uk/epic49-kettering-lan/ ; https://esportsinsider.com/2025/07/epic-lan-unveils-dates-for-2026-events</t>
        </is>
      </c>
      <c r="L46" s="5" t="inlineStr">
        <is>
          <t>自带电脑参加 4 天 LAN；报比赛必须买 BYOC 票，而且一张票只能报一个项目；万圣节夜有社区派对；票价没核实</t>
        </is>
      </c>
      <c r="M46" s="5" t="inlineStr">
        <is>
          <t>The Gaming Corner；CS2 Frag Hub</t>
        </is>
      </c>
      <c r="N46" s="5" t="inlineStr">
        <is>
          <t>未取图：云端环境出站被拦（WebFetch EGRESS_BLOCKED），需在本地 Claude Code 补</t>
        </is>
      </c>
      <c r="O46" s="5" t="inlineStr">
        <is>
          <t>未完成</t>
        </is>
      </c>
    </row>
    <row r="47" ht="73.5" customHeight="1">
      <c r="A47" s="2" t="inlineStr">
        <is>
          <t>Vintage Vibe Crew</t>
        </is>
      </c>
      <c r="B47" s="3" t="inlineStr">
        <is>
          <t>待制作：Vintage Vibe Crew.png</t>
        </is>
      </c>
      <c r="C47" s="4" t="inlineStr">
        <is>
          <t>🔍 Event Radar (UK) — what's worth doing this month.
This month: VINTAGE 👇
👗 Frock Me! Vintage Fashion Fair, Victoria, London — 80 top vintage clothing &amp; jewellery dealers, 15 Nov.</t>
        </is>
      </c>
      <c r="D47" s="2" t="inlineStr">
        <is>
          <t>Frock Me! Vintage Fashion Fair（Victoria 场）</t>
        </is>
      </c>
      <c r="E47" s="2" t="inlineStr">
        <is>
          <t>Lindley Hall, Royal Horticultural Halls, Elverton Street, Victoria, London SW1</t>
        </is>
      </c>
      <c r="F47" s="2" t="inlineStr">
        <is>
          <t>venue_only</t>
        </is>
      </c>
      <c r="G47" s="5" t="inlineStr">
        <is>
          <t>15 Nov 2026（周日）11:00–17:30</t>
        </is>
      </c>
      <c r="H47" s="5" t="inlineStr">
        <is>
          <t>本地生活类(复古市集)</t>
        </is>
      </c>
      <c r="I47" s="6" t="inlineStr">
        <is>
          <t>中热度</t>
        </is>
      </c>
      <c r="J47" s="5" t="inlineStr">
        <is>
          <t>伦敦老牌复古服装展，主办方官网列出 2026 年场次；约 80 家复古服饰、古董布料和首饰商家</t>
        </is>
      </c>
      <c r="K47" s="5" t="inlineStr">
        <is>
          <t>https://www.frockmevintagefashion.com/2026-dates ; https://www.frockmevintagefashion.com/fair-dates</t>
        </is>
      </c>
      <c r="L47" s="5" t="inlineStr">
        <is>
          <t>淘复古衣服和首饰的好去处；Victoria 站走路几分钟</t>
        </is>
      </c>
      <c r="M47" s="5" t="inlineStr">
        <is>
          <t>—</t>
        </is>
      </c>
      <c r="N47" s="5" t="inlineStr">
        <is>
          <t>未取图：云端环境出站被拦（WebFetch EGRESS_BLOCKED），需在本地 Claude Code 补</t>
        </is>
      </c>
      <c r="O47" s="5" t="inlineStr">
        <is>
          <t>未完成</t>
        </is>
      </c>
    </row>
    <row r="48" ht="58" customHeight="1">
      <c r="A48" s="2" t="inlineStr">
        <is>
          <t>UCL Hub / UCL / IC Collective / Royal College of Art / King's College London / London School of Economics / Queen Mary University of London</t>
        </is>
      </c>
      <c r="B48" s="3" t="inlineStr">
        <is>
          <t>待制作：UCL Hub.png</t>
        </is>
      </c>
      <c r="C48" s="4" t="inlineStr">
        <is>
          <t>🔍 Event Radar (UK) — what's worth doing this month.
This month: LONDON &amp; CAMPUS 👇
🎆 Ally Pally Fireworks &amp; Drone Festival, London — fireworks, drones and an Eats Everything DJ set, 7–8 Nov.
🎇 Battersea Park Fireworks, London — fireworks plus a Rudimental DJ set, 7–8 Nov.
🏰 Lord Mayor's Show, City of London — a centuries-old parade, free to watch, 14 Nov.
🎡 Hyde Park Winter Wonderland, London — rides, markets &amp; ice rink, £1 entry Mon–Thu in Nov, from 19 Nov.
🎷 EFG London Jazz Festival, 70+ venues across London — big names &amp; free gigs alike, 13–22 Nov.
🎬 London Korean Film Festival, BFI Southbank, ICA &amp; Ciné Lumière — the 21st edition of the best new Korean cinema, 2–16 Nov.
🕹️ London Gaming Market, Royal National Hotel, Bloomsbury — retro games, consoles &amp; merch, from £4, 15 Nov.</t>
        </is>
      </c>
      <c r="D48" s="2" t="inlineStr">
        <is>
          <t>Alexandra Palace Fireworks &amp; Drone Festival</t>
        </is>
      </c>
      <c r="E48" s="2" t="inlineStr">
        <is>
          <t>Alexandra Palace, Alexandra Palace Way, London N22 7AY</t>
        </is>
      </c>
      <c r="F48" s="2" t="inlineStr">
        <is>
          <t>exact</t>
        </is>
      </c>
      <c r="G48" s="5" t="inlineStr">
        <is>
          <t>7 Nov（周六，20:00 烟花）/ 8 Nov 2026（周日，18:00 烟花）</t>
        </is>
      </c>
      <c r="H48" s="5" t="inlineStr">
        <is>
          <t>年轻人娱乐(烟花/音乐节)</t>
        </is>
      </c>
      <c r="I48" s="8" t="inlineStr">
        <is>
          <t>高热度</t>
        </is>
      </c>
      <c r="J48" s="5" t="inlineStr">
        <is>
          <t>伦敦最大的篝火夜活动之一，年年办；Time Out 有专文；周六由 Eats Everything 做 DJ 压轴</t>
        </is>
      </c>
      <c r="K48" s="5" t="inlineStr">
        <is>
          <t>https://www.alexandrapalace.com/whats-on/fireworks-drone-festival/ ; https://www.timeout.com/london/news/alexandra-palace-fireworks-drone-show-2026-details-revealed-091026</t>
        </is>
      </c>
      <c r="L48" s="5" t="inlineStr">
        <is>
          <t>从 £10.50（早鸟）/ £18 起；周六是成人派对氛围（DJ + 德国啤酒节），适合学生</t>
        </is>
      </c>
      <c r="M48" s="5" t="inlineStr">
        <is>
          <t>—</t>
        </is>
      </c>
      <c r="N48" s="5" t="inlineStr">
        <is>
          <t>未取图：云端环境出站被拦（WebFetch EGRESS_BLOCKED），需在本地 Claude Code 补</t>
        </is>
      </c>
      <c r="O48" s="5" t="inlineStr">
        <is>
          <t>未完成</t>
        </is>
      </c>
    </row>
    <row r="49" ht="58" customHeight="1">
      <c r="A49" s="2" t="n"/>
      <c r="B49" s="3" t="n"/>
      <c r="C49" s="4" t="n"/>
      <c r="D49" s="2" t="inlineStr">
        <is>
          <t>Battersea Park Fireworks 2026</t>
        </is>
      </c>
      <c r="E49" s="2" t="inlineStr">
        <is>
          <t>Battersea Park, London SW11 4NJ</t>
        </is>
      </c>
      <c r="F49" s="2" t="inlineStr">
        <is>
          <t>exact</t>
        </is>
      </c>
      <c r="G49" s="5" t="inlineStr">
        <is>
          <t>7 Nov（周六，20:30 烟花）/ 8 Nov 2026（周日，19:00 烟花）</t>
        </is>
      </c>
      <c r="H49" s="5" t="inlineStr">
        <is>
          <t>年轻人娱乐(烟花/音乐)</t>
        </is>
      </c>
      <c r="I49" s="8" t="inlineStr">
        <is>
          <t>高热度</t>
        </is>
      </c>
      <c r="J49" s="5" t="inlineStr">
        <is>
          <t>Wandsworth Council 主办，年年举办；当地媒体称预计再次售罄；周六 Rudimental DJ set</t>
        </is>
      </c>
      <c r="K49" s="5" t="inlineStr">
        <is>
          <t>https://www.batterseaparkfireworks.com/ ; https://www.london-now.co.uk/news/26529624.battersea-park-fireworks-2026-tickets-sale-week/</t>
        </is>
      </c>
      <c r="L49" s="5" t="inlineStr">
        <is>
          <t>RCA Battersea 校区就在旁边；有 happy hour（游乐设施半价、饮品 £5），学生友好</t>
        </is>
      </c>
      <c r="M49" s="5" t="inlineStr">
        <is>
          <t>St Mary's University, Twickenham</t>
        </is>
      </c>
      <c r="N49" s="5" t="inlineStr">
        <is>
          <t>未取图：云端环境出站被拦（WebFetch EGRESS_BLOCKED），需在本地 Claude Code 补</t>
        </is>
      </c>
      <c r="O49" s="5" t="inlineStr">
        <is>
          <t>未完成</t>
        </is>
      </c>
    </row>
    <row r="50" ht="58" customHeight="1">
      <c r="A50" s="2" t="n"/>
      <c r="B50" s="3" t="n"/>
      <c r="C50" s="4" t="n"/>
      <c r="D50" s="2" t="inlineStr">
        <is>
          <t>Lord Mayor's Show 2026（伦敦金融城市长巡游）</t>
        </is>
      </c>
      <c r="E50" s="2" t="inlineStr">
        <is>
          <t>City of London：Mansion House 出发 → Royal Courts of Justice（Strand）→ 返回，沿途都能看</t>
        </is>
      </c>
      <c r="F50" s="2" t="inlineStr">
        <is>
          <t>venue_only</t>
        </is>
      </c>
      <c r="G50" s="5" t="inlineStr">
        <is>
          <t>14 Nov 2026（周六）11:00–15:30</t>
        </is>
      </c>
      <c r="H50" s="5" t="inlineStr">
        <is>
          <t>本地生活类(城市传统活动)</t>
        </is>
      </c>
      <c r="I50" s="8" t="inlineStr">
        <is>
          <t>高热度</t>
        </is>
      </c>
      <c r="J50" s="5" t="inlineStr">
        <is>
          <t>数百年历史的年度巡游，官方确认 2026 年日期</t>
        </is>
      </c>
      <c r="K50" s="5" t="inlineStr">
        <is>
          <t>https://www.lordmayorsshow.london/ ; https://londonist.com/london/things-to-do/a-guide-to-the-lord-mayor-s-show</t>
        </is>
      </c>
      <c r="L50" s="5" t="inlineStr">
        <is>
          <t>免费、在市中心，留学生能体验很"英国"的传统活动；LSE/KCL 走路就到</t>
        </is>
      </c>
      <c r="M50" s="5" t="inlineStr">
        <is>
          <t>—</t>
        </is>
      </c>
      <c r="N50" s="5" t="inlineStr">
        <is>
          <t>未取图：云端环境出站被拦（WebFetch EGRESS_BLOCKED），需在本地 Claude Code 补</t>
        </is>
      </c>
      <c r="O50" s="5" t="inlineStr">
        <is>
          <t>未完成</t>
        </is>
      </c>
    </row>
    <row r="51" ht="58" customHeight="1">
      <c r="A51" s="2" t="n"/>
      <c r="B51" s="3" t="n"/>
      <c r="C51" s="4" t="n"/>
      <c r="D51" s="2" t="inlineStr">
        <is>
          <t>Hyde Park Winter Wonderland 2026</t>
        </is>
      </c>
      <c r="E51" s="2" t="inlineStr">
        <is>
          <t>Hyde Park（Hyde Park Corner / Marble Arch 一侧入口）, London W2</t>
        </is>
      </c>
      <c r="F51" s="2" t="inlineStr">
        <is>
          <t>venue_only</t>
        </is>
      </c>
      <c r="G51" s="5" t="inlineStr">
        <is>
          <t>19 Nov 2026 – 3 Jan 2027（19、20 Nov 12:00 开门）</t>
        </is>
      </c>
      <c r="H51" s="5" t="inlineStr">
        <is>
          <t>年轻人娱乐(游乐/圣诞集市)</t>
        </is>
      </c>
      <c r="I51" s="8" t="inlineStr">
        <is>
          <t>高热度</t>
        </is>
      </c>
      <c r="J51" s="5" t="inlineStr">
        <is>
          <t>伦敦最大的圣诞嘉年华，年年举办；官方票务指南写明 11 月周一到周四 off-peak 入场只要 £1</t>
        </is>
      </c>
      <c r="K51" s="5" t="inlineStr">
        <is>
          <t>https://hydeparkwinterwonderland.com/tickets-guide/ ; https://www.visitlondon.com/things-to-do/event/8696953-winter-wonderland-in-hyde-park</t>
        </is>
      </c>
      <c r="L51" s="5" t="inlineStr">
        <is>
          <t>11 月工作日 £1 入场（standard £5.50、peak £8.25），提前一次性消费满 £25 免入场费；按小时分时段预约</t>
        </is>
      </c>
      <c r="M51" s="5" t="inlineStr">
        <is>
          <t>—</t>
        </is>
      </c>
      <c r="N51" s="5" t="inlineStr">
        <is>
          <t>未取图：云端环境出站被拦（WebFetch EGRESS_BLOCKED），需在本地 Claude Code 补</t>
        </is>
      </c>
      <c r="O51" s="5" t="inlineStr">
        <is>
          <t>未完成</t>
        </is>
      </c>
    </row>
    <row r="52" ht="58" customHeight="1">
      <c r="A52" s="2" t="n"/>
      <c r="B52" s="3" t="n"/>
      <c r="C52" s="4" t="n"/>
      <c r="D52" s="2" t="inlineStr">
        <is>
          <t>EFG London Jazz Festival 2026（第 34 届）</t>
        </is>
      </c>
      <c r="E52" s="2" t="inlineStr">
        <is>
          <t>伦敦 70 多个场地：开幕 Jazz Voice 在 Royal Festival Hall（Southbank Centre, Belvedere Road, SE1）；另有 Royal Albert Hall、British Airways Arc 等</t>
        </is>
      </c>
      <c r="F52" s="2" t="inlineStr">
        <is>
          <t>venue_only</t>
        </is>
      </c>
      <c r="G52" s="5" t="inlineStr">
        <is>
          <t>13–22 Nov 2026（开幕 13 Nov）</t>
        </is>
      </c>
      <c r="H52" s="5" t="inlineStr">
        <is>
          <t>年轻人娱乐(Live Music/爵士)</t>
        </is>
      </c>
      <c r="I52" s="8" t="inlineStr">
        <is>
          <t>高热度</t>
        </is>
      </c>
      <c r="J52" s="5" t="inlineStr">
        <is>
          <t>第 34 届，覆盖伦敦一半以上的行政区；Southbank Centre 官方列出；阵容有 Samara Joy、Melody Gardot（16 Nov Royal Albert Hall）等</t>
        </is>
      </c>
      <c r="K52" s="5" t="inlineStr">
        <is>
          <t>https://www.southbankcentre.co.uk/events/efg-london-jazz-festival/ ; https://www.clashmusic.com/live/efg-london-jazz-festival-2026-first-names-confirmed/</t>
        </is>
      </c>
      <c r="L52" s="5" t="inlineStr">
        <is>
          <t>大场、小酒吧都有，不少免费场和低价场，适合各种预算</t>
        </is>
      </c>
      <c r="M52" s="5" t="inlineStr">
        <is>
          <t>Live Music Crew</t>
        </is>
      </c>
      <c r="N52" s="5" t="inlineStr">
        <is>
          <t>未取图：云端环境出站被拦（WebFetch EGRESS_BLOCKED），需在本地 Claude Code 补</t>
        </is>
      </c>
      <c r="O52" s="5" t="inlineStr">
        <is>
          <t>未完成</t>
        </is>
      </c>
    </row>
    <row r="53" ht="58" customHeight="1">
      <c r="A53" s="2" t="n"/>
      <c r="B53" s="3" t="n"/>
      <c r="C53" s="4" t="n"/>
      <c r="D53" s="2" t="inlineStr">
        <is>
          <t>London Korean Film Festival 2026（第 21 届）</t>
        </is>
      </c>
      <c r="E53" s="2" t="inlineStr">
        <is>
          <t>BFI Southbank（Belvedere Road, SE1 8XT）/ Ciné Lumière（17 Queensberry Place, SW7）/ ICA（The Mall, SW1）</t>
        </is>
      </c>
      <c r="F53" s="2" t="inlineStr">
        <is>
          <t>venue_only</t>
        </is>
      </c>
      <c r="G53" s="5" t="inlineStr">
        <is>
          <t>2–16 Nov 2026（开幕 2 Nov，闭幕 16 Nov）</t>
        </is>
      </c>
      <c r="H53" s="5" t="inlineStr">
        <is>
          <t>电影/媒体</t>
        </is>
      </c>
      <c r="I53" s="6" t="inlineStr">
        <is>
          <t>中热度</t>
        </is>
      </c>
      <c r="J53" s="5" t="inlineStr">
        <is>
          <t>韩国文化院主办，第 21 届；BFI 官方页面收录；开幕片《The Journey to Gyeong-ju》，3 Nov BFI 有李沧东新作《Possible Love》提前放映</t>
        </is>
      </c>
      <c r="K53" s="5" t="inlineStr">
        <is>
          <t>https://www.koreanfilm.co.uk/london-korean-film-festival-2026-full-programme-announcement/ ; https://whatson.bfi.org.uk/Online/article/london-korean-film-festival-2026</t>
        </is>
      </c>
      <c r="L53" s="5" t="inlineStr">
        <is>
          <t>韩影迷不容错过；场地都在市中心，学生票通常便宜</t>
        </is>
      </c>
      <c r="M53" s="5" t="inlineStr">
        <is>
          <t>Reel Talk Club</t>
        </is>
      </c>
      <c r="N53" s="5" t="inlineStr">
        <is>
          <t>未取图：云端环境出站被拦（WebFetch EGRESS_BLOCKED），需在本地 Claude Code 补</t>
        </is>
      </c>
      <c r="O53" s="5" t="inlineStr">
        <is>
          <t>未完成</t>
        </is>
      </c>
    </row>
    <row r="54" ht="58" customHeight="1">
      <c r="A54" s="2" t="n"/>
      <c r="B54" s="3" t="n"/>
      <c r="C54" s="4" t="n"/>
      <c r="D54" s="2" t="inlineStr">
        <is>
          <t>London Gaming Market（复古游戏市集）</t>
        </is>
      </c>
      <c r="E54" s="2" t="inlineStr">
        <is>
          <t>Royal National Hotel, 38–51 Bedford Way, London WC1H 0DG</t>
        </is>
      </c>
      <c r="F54" s="2" t="inlineStr">
        <is>
          <t>exact</t>
        </is>
      </c>
      <c r="G54" s="5" t="inlineStr">
        <is>
          <t>15 Nov 2026（周日）10:30–16:30</t>
        </is>
      </c>
      <c r="H54" s="5" t="inlineStr">
        <is>
          <t>兴趣类(游戏/复古)</t>
        </is>
      </c>
      <c r="I54" s="6" t="inlineStr">
        <is>
          <t>中热度</t>
        </is>
      </c>
      <c r="J54" s="5" t="inlineStr">
        <is>
          <t>自称英国历史最久、规模最大的游戏市集，每 4 个月一场；Eventbrite 正规售票</t>
        </is>
      </c>
      <c r="K54" s="5" t="inlineStr">
        <is>
          <t>https://www.eventbrite.co.uk/e/london-gaming-market-sunday-15th-november-2026-tickets-1998660374984 ; https://www.londongamingmarket.com/</t>
        </is>
      </c>
      <c r="L54" s="5" t="inlineStr">
        <is>
          <t>门票 £4–9（越晚越便宜）；就在 Bloomsbury，UCL 走路就到</t>
        </is>
      </c>
      <c r="M54" s="5" t="inlineStr">
        <is>
          <t>The Gaming Corner</t>
        </is>
      </c>
      <c r="N54" s="5" t="inlineStr">
        <is>
          <t>未取图：云端环境出站被拦（WebFetch EGRESS_BLOCKED），需在本地 Claude Code 补</t>
        </is>
      </c>
      <c r="O54" s="5" t="inlineStr">
        <is>
          <t>未完成</t>
        </is>
      </c>
    </row>
    <row r="55" ht="71.5" customHeight="1">
      <c r="A55" s="2" t="inlineStr">
        <is>
          <t>St Mary's University, Twickenham</t>
        </is>
      </c>
      <c r="B55" s="3" t="inlineStr">
        <is>
          <t>待制作：St Mary's University, Twickenham.png</t>
        </is>
      </c>
      <c r="C55" s="4" t="inlineStr">
        <is>
          <t>🔍 Event Radar (UK) — what's worth doing this month.
This month: TWICKENHAM &amp; SW LONDON 👇
🎇 Battersea Park Fireworks, London — fireworks plus a Rudimental DJ set, 7–8 Nov.
🏉 England v Australia, Twickenham — Nations Championship rugby, 8 Nov.
🏉 England v Japan, Twickenham — Nations Championship rugby, 14 Nov.
✨ Christmas at Kew, Kew Gardens — the UK's original festive light trail, from 13 Nov.
🏉 England v New Zealand, Twickenham — the All Blacks come to town, 21 Nov.</t>
        </is>
      </c>
      <c r="D55" s="2" t="inlineStr">
        <is>
          <t>Battersea Park Fireworks 2026</t>
        </is>
      </c>
      <c r="E55" s="2" t="inlineStr">
        <is>
          <t>Battersea Park, London SW11 4NJ</t>
        </is>
      </c>
      <c r="F55" s="2" t="inlineStr">
        <is>
          <t>exact</t>
        </is>
      </c>
      <c r="G55" s="5" t="inlineStr">
        <is>
          <t>7 Nov（周六，20:30 烟花）/ 8 Nov 2026（周日，19:00 烟花）</t>
        </is>
      </c>
      <c r="H55" s="5" t="inlineStr">
        <is>
          <t>年轻人娱乐(烟花/音乐)</t>
        </is>
      </c>
      <c r="I55" s="8" t="inlineStr">
        <is>
          <t>高热度</t>
        </is>
      </c>
      <c r="J55" s="5" t="inlineStr">
        <is>
          <t>Wandsworth Council 主办，年年举办；当地媒体称预计再次售罄；周六 Rudimental DJ set</t>
        </is>
      </c>
      <c r="K55" s="5" t="inlineStr">
        <is>
          <t>https://www.batterseaparkfireworks.com/ ; https://www.london-now.co.uk/news/26529624.battersea-park-fireworks-2026-tickets-sale-week/</t>
        </is>
      </c>
      <c r="L55" s="5" t="inlineStr">
        <is>
          <t>RCA Battersea 校区就在旁边；有 happy hour（游乐设施半价、饮品 £5），学生友好</t>
        </is>
      </c>
      <c r="M55" s="5" t="inlineStr">
        <is>
          <t>UCL Hub / UCL / IC Collective / Royal College of Art / King's College London / London School of Economics / Queen Mary University of London</t>
        </is>
      </c>
      <c r="N55" s="5" t="inlineStr">
        <is>
          <t>未取图：云端环境出站被拦（WebFetch EGRESS_BLOCKED），需在本地 Claude Code 补</t>
        </is>
      </c>
      <c r="O55" s="5" t="inlineStr">
        <is>
          <t>未完成</t>
        </is>
      </c>
    </row>
    <row r="56" ht="58" customHeight="1">
      <c r="A56" s="2" t="n"/>
      <c r="B56" s="3" t="n"/>
      <c r="C56" s="4" t="n"/>
      <c r="D56" s="2" t="inlineStr">
        <is>
          <t>英格兰 vs 澳大利亚（Nations Championship 橄榄球）</t>
        </is>
      </c>
      <c r="E56" s="2" t="inlineStr">
        <is>
          <t>Allianz Stadium Twickenham, 200 Whitton Road, Twickenham TW2 7BA</t>
        </is>
      </c>
      <c r="F56" s="2" t="inlineStr">
        <is>
          <t>exact</t>
        </is>
      </c>
      <c r="G56" s="5" t="inlineStr">
        <is>
          <t>8 Nov 2026（周日）</t>
        </is>
      </c>
      <c r="H56" s="5" t="inlineStr">
        <is>
          <t>运动户外(观赛)</t>
        </is>
      </c>
      <c r="I56" s="8" t="inlineStr">
        <is>
          <t>高热度</t>
        </is>
      </c>
      <c r="J56" s="5" t="inlineStr">
        <is>
          <t>RFU 官方公布的国家队主场赛，是新赛事 Nations Championship 的首届</t>
        </is>
      </c>
      <c r="K56" s="5" t="inlineStr">
        <is>
          <t>https://www.englandrugby.com/follow/news-and-media/england-fixtures-confirmed-inaugural-nations-championship ; https://allianzstadiumtwickenham.com/nations-championship</t>
        </is>
      </c>
      <c r="L56" s="5" t="inlineStr">
        <is>
          <t>St Mary's 是体育强校，球场就在家门口；⚠️国家队比赛票价偏高</t>
        </is>
      </c>
      <c r="M56" s="5" t="inlineStr">
        <is>
          <t>—</t>
        </is>
      </c>
      <c r="N56" s="5" t="inlineStr">
        <is>
          <t>未取图：云端环境出站被拦（WebFetch EGRESS_BLOCKED），需在本地 Claude Code 补</t>
        </is>
      </c>
      <c r="O56" s="5" t="inlineStr">
        <is>
          <t>未完成</t>
        </is>
      </c>
    </row>
    <row r="57" ht="58" customHeight="1">
      <c r="A57" s="2" t="n"/>
      <c r="B57" s="3" t="n"/>
      <c r="C57" s="4" t="n"/>
      <c r="D57" s="2" t="inlineStr">
        <is>
          <t>英格兰 vs 日本（Nations Championship 橄榄球）</t>
        </is>
      </c>
      <c r="E57" s="2" t="inlineStr">
        <is>
          <t>Allianz Stadium Twickenham, 200 Whitton Road, Twickenham TW2 7BA</t>
        </is>
      </c>
      <c r="F57" s="2" t="inlineStr">
        <is>
          <t>exact</t>
        </is>
      </c>
      <c r="G57" s="5" t="inlineStr">
        <is>
          <t>14 Nov 2026（周六）</t>
        </is>
      </c>
      <c r="H57" s="5" t="inlineStr">
        <is>
          <t>运动户外(观赛)</t>
        </is>
      </c>
      <c r="I57" s="8" t="inlineStr">
        <is>
          <t>高热度</t>
        </is>
      </c>
      <c r="J57" s="5" t="inlineStr">
        <is>
          <t>RFU 官方公布的国家队主场赛</t>
        </is>
      </c>
      <c r="K57" s="5" t="inlineStr">
        <is>
          <t>https://www.englandrugby.com/follow/news-and-media/england-fixtures-confirmed-inaugural-nations-championship</t>
        </is>
      </c>
      <c r="L57" s="5" t="inlineStr">
        <is>
          <t>对日本这场的票通常比对新西兰、澳大利亚便宜，更适合学生；⚠️票价还是要看一下</t>
        </is>
      </c>
      <c r="M57" s="5" t="inlineStr">
        <is>
          <t>—</t>
        </is>
      </c>
      <c r="N57" s="5" t="inlineStr">
        <is>
          <t>未取图：云端环境出站被拦（WebFetch EGRESS_BLOCKED），需在本地 Claude Code 补</t>
        </is>
      </c>
      <c r="O57" s="5" t="inlineStr">
        <is>
          <t>未完成</t>
        </is>
      </c>
    </row>
    <row r="58" ht="58" customHeight="1">
      <c r="A58" s="2" t="n"/>
      <c r="B58" s="3" t="n"/>
      <c r="C58" s="4" t="n"/>
      <c r="D58" s="2" t="inlineStr">
        <is>
          <t>Christmas at Kew 2026 灯光步道</t>
        </is>
      </c>
      <c r="E58" s="2" t="inlineStr">
        <is>
          <t>Royal Botanic Gardens, Kew, Richmond TW9 3AE</t>
        </is>
      </c>
      <c r="F58" s="2" t="inlineStr">
        <is>
          <t>exact</t>
        </is>
      </c>
      <c r="G58" s="5" t="inlineStr">
        <is>
          <t>13 Nov 2026 – 3 Jan 2027（16、23、28 Nov 不开），16:20–22:00</t>
        </is>
      </c>
      <c r="H58" s="5" t="inlineStr">
        <is>
          <t>本地生活类(灯光步道) + 园艺</t>
        </is>
      </c>
      <c r="I58" s="8" t="inlineStr">
        <is>
          <t>高热度</t>
        </is>
      </c>
      <c r="J58" s="5" t="inlineStr">
        <is>
          <t>Kew 官方新闻稿公布 2026 年日期；英国最早的节日灯光步道，年年举办，热门日期常售罄</t>
        </is>
      </c>
      <c r="K58" s="5" t="inlineStr">
        <is>
          <t>https://www.kew.org/about-us/press-media/christmas-at-kew-returns-for-2026 ; https://www.kew.org/kew-gardens/whats-on/christmas</t>
        </is>
      </c>
      <c r="L58" s="5" t="inlineStr">
        <is>
          <t>离 St Mary's 很近；成人票约 £25 起，不便宜，建议选 off-peak；分时段入场</t>
        </is>
      </c>
      <c r="M58" s="5" t="inlineStr">
        <is>
          <t>Green Thumb Circle</t>
        </is>
      </c>
      <c r="N58" s="5" t="inlineStr">
        <is>
          <t>未取图：云端环境出站被拦（WebFetch EGRESS_BLOCKED），需在本地 Claude Code 补</t>
        </is>
      </c>
      <c r="O58" s="5" t="inlineStr">
        <is>
          <t>未完成</t>
        </is>
      </c>
    </row>
    <row r="59" ht="58" customHeight="1">
      <c r="A59" s="2" t="n"/>
      <c r="B59" s="3" t="n"/>
      <c r="C59" s="4" t="n"/>
      <c r="D59" s="2" t="inlineStr">
        <is>
          <t>英格兰 vs 新西兰（Nations Championship 橄榄球）</t>
        </is>
      </c>
      <c r="E59" s="2" t="inlineStr">
        <is>
          <t>Allianz Stadium Twickenham, 200 Whitton Road, Twickenham TW2 7BA</t>
        </is>
      </c>
      <c r="F59" s="2" t="inlineStr">
        <is>
          <t>exact</t>
        </is>
      </c>
      <c r="G59" s="5" t="inlineStr">
        <is>
          <t>21 Nov 2026（周六）14:10 开球</t>
        </is>
      </c>
      <c r="H59" s="5" t="inlineStr">
        <is>
          <t>运动户外(观赛)</t>
        </is>
      </c>
      <c r="I59" s="8" t="inlineStr">
        <is>
          <t>高热度</t>
        </is>
      </c>
      <c r="J59" s="5" t="inlineStr">
        <is>
          <t>球场官网有单场售票页；英格兰本届三场小组赛的最后一场，争夺 Hillary Shield</t>
        </is>
      </c>
      <c r="K59" s="5" t="inlineStr">
        <is>
          <t>https://allianzstadiumtwickenham.com/england-v-new-zealand-nations-championship-pool-match ; https://www.autumn-internationals.co.uk/2026/england-v-new-zealand.html</t>
        </is>
      </c>
      <c r="L59" s="5" t="inlineStr">
        <is>
          <t>⚠️对全黑队的票最贵（RFU premium 票面约 £238）；买不到票可以去 Twickenham 的酒吧看直播</t>
        </is>
      </c>
      <c r="M59" s="5" t="inlineStr">
        <is>
          <t>—</t>
        </is>
      </c>
      <c r="N59" s="5" t="inlineStr">
        <is>
          <t>未取图：云端环境出站被拦（WebFetch EGRESS_BLOCKED），需在本地 Claude Code 补</t>
        </is>
      </c>
      <c r="O59" s="5" t="inlineStr">
        <is>
          <t>未完成</t>
        </is>
      </c>
    </row>
    <row r="60" ht="58" customHeight="1">
      <c r="A60" s="2" t="inlineStr">
        <is>
          <t>University of St Andrews</t>
        </is>
      </c>
      <c r="B60" s="3" t="inlineStr">
        <is>
          <t>待制作：University of St Andrews.png</t>
        </is>
      </c>
      <c r="C60" s="4" t="inlineStr">
        <is>
          <t>🔍 Event Radar (UK) — what's worth doing this month.
This month: ST ANDREWS 👇
🔥 St Andrews Big Hoolie, South Street to West Sands — torchlit parade, ceilidh &amp; beach fireworks, 28 Nov.
🏎️ Knockhill Live-Action &amp; Fireworks, Dunfermline — stunt driving + a big fireworks finale, 7 Nov.
🎞️ Byre Thursday Films, St Andrews — easy study-break screenings, 5 &amp; 12 Nov.</t>
        </is>
      </c>
      <c r="D60" s="2" t="inlineStr">
        <is>
          <t>St Andrews Big Hoolie（圣安德鲁日庆典）</t>
        </is>
      </c>
      <c r="E60" s="2" t="inlineStr">
        <is>
          <t>St Andrews：South Street 火炬游行 → West Sands 海滩烟花</t>
        </is>
      </c>
      <c r="F60" s="2" t="inlineStr">
        <is>
          <t>venue_only</t>
        </is>
      </c>
      <c r="G60" s="5" t="inlineStr">
        <is>
          <t>28 Nov 2026（周六）；2025 年是 19:55 火炬游行出发、20:30 放烟花，今年时间待公布</t>
        </is>
      </c>
      <c r="H60" s="5" t="inlineStr">
        <is>
          <t>本地生活类(节庆/烟花)</t>
        </is>
      </c>
      <c r="I60" s="8" t="inlineStr">
        <is>
          <t>高热度</t>
        </is>
      </c>
      <c r="J60" s="5" t="inlineStr">
        <is>
          <t>VisitScotland 列出 2026 年日期；BID St Andrews 主办，2017 年起年年举办</t>
        </is>
      </c>
      <c r="K60" s="5" t="inlineStr">
        <is>
          <t>https://www.visitscotland.com/things-to-do/events ; https://www.fifetoday.co.uk/arts-and-culture/st-andrews-prepares-for-the-return-of-the-big-hoolie-5412671</t>
        </is>
      </c>
      <c r="L60" s="5" t="inlineStr">
        <is>
          <t>St Andrews 一年里最热闹的晚上：市集、ceilidh、火炬游行、海滩烟花，基本免费</t>
        </is>
      </c>
      <c r="M60" s="5" t="inlineStr">
        <is>
          <t>—</t>
        </is>
      </c>
      <c r="N60" s="5" t="inlineStr">
        <is>
          <t>未取图：云端环境出站被拦（WebFetch EGRESS_BLOCKED），需在本地 Claude Code 补</t>
        </is>
      </c>
      <c r="O60" s="5" t="inlineStr">
        <is>
          <t>未完成</t>
        </is>
      </c>
    </row>
    <row r="61" ht="71.5" customHeight="1">
      <c r="A61" s="2" t="n"/>
      <c r="B61" s="3" t="n"/>
      <c r="C61" s="4" t="n"/>
      <c r="D61" s="2" t="inlineStr">
        <is>
          <t>Knockhill Live-Action &amp; Fireworks Spectacular（赛车表演 + 篝火烟花）</t>
        </is>
      </c>
      <c r="E61" s="2" t="inlineStr">
        <is>
          <t>Knockhill Racing Circuit, Dunfermline, Fife KY12 9TF</t>
        </is>
      </c>
      <c r="F61" s="2" t="inlineStr">
        <is>
          <t>exact</t>
        </is>
      </c>
      <c r="G61" s="5" t="inlineStr">
        <is>
          <t>7 Nov 2026（周六）13:00 开门，14:00 赛道表演，约 17:30 放烟花</t>
        </is>
      </c>
      <c r="H61" s="5" t="inlineStr">
        <is>
          <t>年轻人娱乐(烟花/赛车) + 一日游</t>
        </is>
      </c>
      <c r="I61" s="6" t="inlineStr">
        <is>
          <t>中热度</t>
        </is>
      </c>
      <c r="J61" s="5" t="inlineStr">
        <is>
          <t>苏格兰国家赛车场官方主办，年年举办；烟花由 Edinburgh 21CC Fireworks 制作；What's On Fife 收录</t>
        </is>
      </c>
      <c r="K61" s="5" t="inlineStr">
        <is>
          <t>https://www.knockhill.com/events/fixture-Live-Action-amp-Fireworks-Spectacular-id917 ; https://www.whatsonfife.co.uk/event/078801-live-action-and-fireworks-spectacular-at-knockhill</t>
        </is>
      </c>
      <c r="L61" s="5" t="inlineStr">
        <is>
          <t>赛车漂移表演 + 烟花，很特别；离 Stirling 约 35 公里、离 St Andrews 约 50 公里，适合组团开车去</t>
        </is>
      </c>
      <c r="M61" s="5" t="inlineStr">
        <is>
          <t>Day Trip Buddies；University of Stirling</t>
        </is>
      </c>
      <c r="N61" s="5" t="inlineStr">
        <is>
          <t>未取图：云端环境出站被拦（WebFetch EGRESS_BLOCKED），需在本地 Claude Code 补</t>
        </is>
      </c>
      <c r="O61" s="5" t="inlineStr">
        <is>
          <t>未完成</t>
        </is>
      </c>
    </row>
    <row r="62" ht="58" customHeight="1">
      <c r="A62" s="2" t="n"/>
      <c r="B62" s="3" t="n"/>
      <c r="C62" s="4" t="n"/>
      <c r="D62" s="2" t="inlineStr">
        <is>
          <t>Byre Theatre 周四电影放映</t>
        </is>
      </c>
      <c r="E62" s="2" t="inlineStr">
        <is>
          <t>The Byre Theatre, Abbey Street, St Andrews KY16 9LA</t>
        </is>
      </c>
      <c r="F62" s="2" t="inlineStr">
        <is>
          <t>exact</t>
        </is>
      </c>
      <c r="G62" s="5" t="inlineStr">
        <is>
          <t>5 Nov / 12 Nov 2026（都是周四）</t>
        </is>
      </c>
      <c r="H62" s="5" t="inlineStr">
        <is>
          <t>电影/媒体</t>
        </is>
      </c>
      <c r="I62" s="7" t="inlineStr">
        <is>
          <t>潜在价值</t>
        </is>
      </c>
      <c r="J62" s="5" t="inlineStr">
        <is>
          <t>大学剧院固定的放映场，官方节目单有列出</t>
        </is>
      </c>
      <c r="K62" s="5" t="inlineStr">
        <is>
          <t>https://byretheatre.com/upcoming/film/</t>
        </is>
      </c>
      <c r="L62" s="5" t="inlineStr">
        <is>
          <t>便宜又方便的学习间隙放松，片单看官网</t>
        </is>
      </c>
      <c r="M62" s="5" t="inlineStr">
        <is>
          <t>—</t>
        </is>
      </c>
      <c r="N62" s="5" t="inlineStr">
        <is>
          <t>未取图：云端环境出站被拦（WebFetch EGRESS_BLOCKED），需在本地 Claude Code 补</t>
        </is>
      </c>
      <c r="O62" s="5" t="inlineStr">
        <is>
          <t>未完成</t>
        </is>
      </c>
    </row>
    <row r="63" ht="71.5" customHeight="1">
      <c r="A63" s="2" t="inlineStr">
        <is>
          <t>Glasgow City College / Glasgow Caledonian University / University of Strathclyde</t>
        </is>
      </c>
      <c r="B63" s="3" t="inlineStr">
        <is>
          <t>待制作：Glasgow City College.png</t>
        </is>
      </c>
      <c r="C63" s="4" t="inlineStr">
        <is>
          <t>🔍 Event Radar (UK) — what's worth doing this month.
This month: GLASGOW NIGHTS 👇
🤘 Core. Festival, Glasgow — a heavy-music weekend with Pig Destroyer, Eyehategod &amp; more, 13–15 Nov.
🎸 Skindred, Barrowland Ballroom, Glasgow — the "You Got This" tour hits a legendary venue, 13 Nov.
🎸 Pop Mutations x Tiny Changes, Glasgow — an indie weekender across four grassroots venues, 13–14 Nov.
🎄 Glasgow Christmas Market, St Enoch Square — festive stalls on the shopping strip, from 6 Nov.
⛸️ Glasgow Winter Wonderland, Glasgow Green — ice rink &amp; observation wheel, from 20 Nov.</t>
        </is>
      </c>
      <c r="D63" s="2" t="inlineStr">
        <is>
          <t>Core. 重型音乐节（Pig Destroyer / Eyehategod / Wormrot / Raging Speedhorn 等）</t>
        </is>
      </c>
      <c r="E63" s="2" t="inlineStr">
        <is>
          <t>Glasgow 多个场地：The Art School（20 Scott Street）、Nice N Sleazy（421 Sauchiehall Street）、Garnethill Multicultural Centre、Woodside Hall（11/15 Pig Destroyer 场）</t>
        </is>
      </c>
      <c r="F63" s="2" t="inlineStr">
        <is>
          <t>venue_only</t>
        </is>
      </c>
      <c r="G63" s="5" t="inlineStr">
        <is>
          <t>13–15 Nov 2026</t>
        </is>
      </c>
      <c r="H63" s="5" t="inlineStr">
        <is>
          <t>年轻人娱乐(Live Music/金属)</t>
        </is>
      </c>
      <c r="I63" s="6" t="inlineStr">
        <is>
          <t>中热度</t>
        </is>
      </c>
      <c r="J63" s="5" t="inlineStr">
        <is>
          <t>What's On Glasgow 收录，号称"苏格兰最新的重型音乐节"，今年第二届；阵容里有 Pig Destroyer、Eyehategod 等国际乐队</t>
        </is>
      </c>
      <c r="K63" s="5" t="inlineStr">
        <is>
          <t>https://www.whatsonglasgow.co.uk/event/118210-core./ ; https://corepresents.seetickets.com/search/all</t>
        </is>
      </c>
      <c r="L63" s="5" t="inlineStr">
        <is>
          <t>金属、硬核爱好者的周末；多个场馆可以串场</t>
        </is>
      </c>
      <c r="M63" s="5" t="inlineStr">
        <is>
          <t>Live Music Crew</t>
        </is>
      </c>
      <c r="N63" s="5" t="inlineStr">
        <is>
          <t>未取图：云端环境出站被拦（WebFetch EGRESS_BLOCKED），需在本地 Claude Code 补</t>
        </is>
      </c>
      <c r="O63" s="5" t="inlineStr">
        <is>
          <t>未完成</t>
        </is>
      </c>
    </row>
    <row r="64" ht="71.5" customHeight="1">
      <c r="A64" s="2" t="n"/>
      <c r="B64" s="3" t="n"/>
      <c r="C64" s="4" t="n"/>
      <c r="D64" s="2" t="inlineStr">
        <is>
          <t>Skindred "You Got This" 巡演 格拉斯哥站</t>
        </is>
      </c>
      <c r="E64" s="2" t="inlineStr">
        <is>
          <t>Barrowland Ballroom, 244 Gallowgate, Glasgow G4 0TT</t>
        </is>
      </c>
      <c r="F64" s="2" t="inlineStr">
        <is>
          <t>exact</t>
        </is>
      </c>
      <c r="G64" s="5" t="inlineStr">
        <is>
          <t>13 Nov 2026（周五）19:00 开门</t>
        </is>
      </c>
      <c r="H64" s="5" t="inlineStr">
        <is>
          <t>年轻人娱乐(Live Music/摇滚)</t>
        </is>
      </c>
      <c r="I64" s="6" t="inlineStr">
        <is>
          <t>中热度</t>
        </is>
      </c>
      <c r="J64" s="5" t="inlineStr">
        <is>
          <t>全英巡演的格拉斯哥站，Visit Glasgow 有收录；和 Core. 音乐节同一个周末，但不属于 Core. 阵容</t>
        </is>
      </c>
      <c r="K64" s="5" t="inlineStr">
        <is>
          <t>https://www.visitglasgow.com/events/skindred-13112026-139289 ; https://www.kerrang.com/skindred-2026-uk-ireland-headline-tour-london-alexandra-palace-alien-ant-farm-spineshank-nu-metal</t>
        </is>
      </c>
      <c r="L64" s="5" t="inlineStr">
        <is>
          <t>Barrowland 是格拉斯哥的传奇场馆；14 岁以上可入场</t>
        </is>
      </c>
      <c r="M64" s="5" t="inlineStr">
        <is>
          <t>—</t>
        </is>
      </c>
      <c r="N64" s="5" t="inlineStr">
        <is>
          <t>未取图：云端环境出站被拦（WebFetch EGRESS_BLOCKED），需在本地 Claude Code 补</t>
        </is>
      </c>
      <c r="O64" s="5" t="inlineStr">
        <is>
          <t>未完成</t>
        </is>
      </c>
    </row>
    <row r="65" ht="58" customHeight="1">
      <c r="A65" s="2" t="n"/>
      <c r="B65" s="3" t="n"/>
      <c r="C65" s="4" t="n"/>
      <c r="D65" s="2" t="inlineStr">
        <is>
          <t>Pop Mutations x Tiny Changes 小型音乐周末</t>
        </is>
      </c>
      <c r="E65" s="2" t="inlineStr">
        <is>
          <t>Glasgow 4 家场馆：The Old Hairdressers（Renfield Lane）、Stereo（Renfield Lane）、Mono（King's Court）、The Glad Café（Pollokshaws Road）</t>
        </is>
      </c>
      <c r="F65" s="2" t="inlineStr">
        <is>
          <t>venue_only</t>
        </is>
      </c>
      <c r="G65" s="5" t="inlineStr">
        <is>
          <t>13–14 Nov 2026</t>
        </is>
      </c>
      <c r="H65" s="5" t="inlineStr">
        <is>
          <t>年轻人娱乐(Live Music/独立音乐)</t>
        </is>
      </c>
      <c r="I65" s="6" t="inlineStr">
        <is>
          <t>中热度</t>
        </is>
      </c>
      <c r="J65" s="5" t="inlineStr">
        <is>
          <t>Clash 杂志、VisitScotland 报道；阵容有 Kathryn Joseph、Rozi Plain、The Pastels、Billy Nomates；和心理健康慈善机构 Tiny Changes 合办</t>
        </is>
      </c>
      <c r="K65" s="5" t="inlineStr">
        <is>
          <t>https://www.clashmusic.com/live/pop-mutations-x-tiny-changes-confirm-intimate-glasgow-weekender ; https://www.popmutations.com/events/pop-mutations-x-tiny-changes</t>
        </is>
      </c>
      <c r="L65" s="5" t="inlineStr">
        <is>
          <t>独立、小众音乐爱好者的首选，都在市中心小场馆，氛围好，票价通常不高</t>
        </is>
      </c>
      <c r="M65" s="5" t="inlineStr">
        <is>
          <t>Live Music Crew</t>
        </is>
      </c>
      <c r="N65" s="5" t="inlineStr">
        <is>
          <t>未取图：云端环境出站被拦（WebFetch EGRESS_BLOCKED），需在本地 Claude Code 补</t>
        </is>
      </c>
      <c r="O65" s="5" t="inlineStr">
        <is>
          <t>未完成</t>
        </is>
      </c>
    </row>
    <row r="66" ht="58" customHeight="1">
      <c r="A66" s="2" t="n"/>
      <c r="B66" s="3" t="n"/>
      <c r="C66" s="4" t="n"/>
      <c r="D66" s="2" t="inlineStr">
        <is>
          <t>Glasgow Christmas Market（St Enoch Square）</t>
        </is>
      </c>
      <c r="E66" s="2" t="inlineStr">
        <is>
          <t>St Enoch Square, Glasgow G1</t>
        </is>
      </c>
      <c r="F66" s="2" t="inlineStr">
        <is>
          <t>venue_only</t>
        </is>
      </c>
      <c r="G66" s="5" t="inlineStr">
        <is>
          <t>6 Nov – 27 Dec 2026</t>
        </is>
      </c>
      <c r="H66" s="5" t="inlineStr">
        <is>
          <t>本地生活类(集市)</t>
        </is>
      </c>
      <c r="I66" s="6" t="inlineStr">
        <is>
          <t>中热度</t>
        </is>
      </c>
      <c r="J66" s="5" t="inlineStr">
        <is>
          <t>多个来源日期一致；George Square 今年会不会办市集，各来源说法冲突，所以只收这一个点</t>
        </is>
      </c>
      <c r="K66" s="5" t="inlineStr">
        <is>
          <t>https://www.glasgowtourism.org/glasgow-christmas-markets/ ; https://news.stv.tv/west-central/will-there-be-a-christmas-market-at-george-square-in-glasgow-this-year</t>
        </is>
      </c>
      <c r="L66" s="5" t="inlineStr">
        <is>
          <t>免费；在 Argyle Street 购物区，交通方便</t>
        </is>
      </c>
      <c r="M66" s="5" t="inlineStr">
        <is>
          <t>University of West of Scotland</t>
        </is>
      </c>
      <c r="N66" s="5" t="inlineStr">
        <is>
          <t>未取图：云端环境出站被拦（WebFetch EGRESS_BLOCKED），需在本地 Claude Code 补</t>
        </is>
      </c>
      <c r="O66" s="5" t="inlineStr">
        <is>
          <t>未完成</t>
        </is>
      </c>
    </row>
    <row r="67" ht="58" customHeight="1">
      <c r="A67" s="2" t="n"/>
      <c r="B67" s="3" t="n"/>
      <c r="C67" s="4" t="n"/>
      <c r="D67" s="2" t="inlineStr">
        <is>
          <t>Glasgow Winter Wonderland（溜冰场 + 摩天轮）</t>
        </is>
      </c>
      <c r="E67" s="2" t="inlineStr">
        <is>
          <t>Glasgow Green, Glasgow</t>
        </is>
      </c>
      <c r="F67" s="2" t="inlineStr">
        <is>
          <t>venue_only</t>
        </is>
      </c>
      <c r="G67" s="5" t="inlineStr">
        <is>
          <t>20 Nov 2026 – 3 Jan 2027</t>
        </is>
      </c>
      <c r="H67" s="5" t="inlineStr">
        <is>
          <t>年轻人娱乐(滑冰/游乐)</t>
        </is>
      </c>
      <c r="I67" s="6" t="inlineStr">
        <is>
          <t>中热度</t>
        </is>
      </c>
      <c r="J67" s="5" t="inlineStr">
        <is>
          <t>格拉斯哥旅游指南列出 2026 年日期</t>
        </is>
      </c>
      <c r="K67" s="5" t="inlineStr">
        <is>
          <t>https://www.glasgowtourism.org/glasgow-christmas-markets/</t>
        </is>
      </c>
      <c r="L67" s="5" t="inlineStr">
        <is>
          <t>溜冰加摩天轮，适合组团去</t>
        </is>
      </c>
      <c r="M67" s="5" t="inlineStr">
        <is>
          <t>University of West of Scotland</t>
        </is>
      </c>
      <c r="N67" s="5" t="inlineStr">
        <is>
          <t>未取图：云端环境出站被拦（WebFetch EGRESS_BLOCKED），需在本地 Claude Code 补</t>
        </is>
      </c>
      <c r="O67" s="5" t="inlineStr">
        <is>
          <t>未完成</t>
        </is>
      </c>
    </row>
    <row r="68" ht="58" customHeight="1">
      <c r="A68" s="2" t="inlineStr">
        <is>
          <t>University of West of Scotland</t>
        </is>
      </c>
      <c r="B68" s="3" t="inlineStr">
        <is>
          <t>待制作：University of West of Scotland.png</t>
        </is>
      </c>
      <c r="C68" s="4" t="inlineStr">
        <is>
          <t>🔍 Event Radar (UK) — what's worth doing this month.
This month: PAISLEY &amp; GLASGOW 👇
🎄 Glasgow Christmas Market, St Enoch Square — festive stalls on the shopping strip, from 6 Nov.
⛸️ Glasgow Winter Wonderland, Glasgow Green — ice rink &amp; observation wheel, from 20 Nov.</t>
        </is>
      </c>
      <c r="D68" s="2" t="inlineStr">
        <is>
          <t>Glasgow Christmas Market（St Enoch Square）</t>
        </is>
      </c>
      <c r="E68" s="2" t="inlineStr">
        <is>
          <t>St Enoch Square, Glasgow G1</t>
        </is>
      </c>
      <c r="F68" s="2" t="inlineStr">
        <is>
          <t>venue_only</t>
        </is>
      </c>
      <c r="G68" s="5" t="inlineStr">
        <is>
          <t>6 Nov – 27 Dec 2026</t>
        </is>
      </c>
      <c r="H68" s="5" t="inlineStr">
        <is>
          <t>本地生活类(集市)</t>
        </is>
      </c>
      <c r="I68" s="6" t="inlineStr">
        <is>
          <t>中热度</t>
        </is>
      </c>
      <c r="J68" s="5" t="inlineStr">
        <is>
          <t>多个来源日期一致；George Square 今年会不会办市集，各来源说法冲突，所以只收这一个点</t>
        </is>
      </c>
      <c r="K68" s="5" t="inlineStr">
        <is>
          <t>https://www.glasgowtourism.org/glasgow-christmas-markets/ ; https://news.stv.tv/west-central/will-there-be-a-christmas-market-at-george-square-in-glasgow-this-year</t>
        </is>
      </c>
      <c r="L68" s="5" t="inlineStr">
        <is>
          <t>免费；在 Argyle Street 购物区，交通方便</t>
        </is>
      </c>
      <c r="M68" s="5" t="inlineStr">
        <is>
          <t>Glasgow City College / Glasgow Caledonian University / University of Strathclyde</t>
        </is>
      </c>
      <c r="N68" s="5" t="inlineStr">
        <is>
          <t>未取图：云端环境出站被拦（WebFetch EGRESS_BLOCKED），需在本地 Claude Code 补</t>
        </is>
      </c>
      <c r="O68" s="5" t="inlineStr">
        <is>
          <t>未完成</t>
        </is>
      </c>
    </row>
    <row r="69" ht="58" customHeight="1">
      <c r="A69" s="2" t="n"/>
      <c r="B69" s="3" t="n"/>
      <c r="C69" s="4" t="n"/>
      <c r="D69" s="2" t="inlineStr">
        <is>
          <t>Glasgow Winter Wonderland（溜冰场 + 摩天轮）</t>
        </is>
      </c>
      <c r="E69" s="2" t="inlineStr">
        <is>
          <t>Glasgow Green, Glasgow</t>
        </is>
      </c>
      <c r="F69" s="2" t="inlineStr">
        <is>
          <t>venue_only</t>
        </is>
      </c>
      <c r="G69" s="5" t="inlineStr">
        <is>
          <t>20 Nov 2026 – 3 Jan 2027</t>
        </is>
      </c>
      <c r="H69" s="5" t="inlineStr">
        <is>
          <t>年轻人娱乐(滑冰/游乐)</t>
        </is>
      </c>
      <c r="I69" s="6" t="inlineStr">
        <is>
          <t>中热度</t>
        </is>
      </c>
      <c r="J69" s="5" t="inlineStr">
        <is>
          <t>格拉斯哥旅游指南列出 2026 年日期</t>
        </is>
      </c>
      <c r="K69" s="5" t="inlineStr">
        <is>
          <t>https://www.glasgowtourism.org/glasgow-christmas-markets/</t>
        </is>
      </c>
      <c r="L69" s="5" t="inlineStr">
        <is>
          <t>溜冰加摩天轮，适合组团去</t>
        </is>
      </c>
      <c r="M69" s="5" t="inlineStr">
        <is>
          <t>Glasgow City College / Glasgow Caledonian University / University of Strathclyde</t>
        </is>
      </c>
      <c r="N69" s="5" t="inlineStr">
        <is>
          <t>未取图：云端环境出站被拦（WebFetch EGRESS_BLOCKED），需在本地 Claude Code 补</t>
        </is>
      </c>
      <c r="O69" s="5" t="inlineStr">
        <is>
          <t>未完成</t>
        </is>
      </c>
    </row>
    <row r="70" ht="58" customHeight="1">
      <c r="A70" s="2" t="inlineStr">
        <is>
          <t>Heriot-Watt University / University of Edinburgh Freshers 2026</t>
        </is>
      </c>
      <c r="B70" s="3" t="inlineStr">
        <is>
          <t>待制作：Heriot-Watt University.png</t>
        </is>
      </c>
      <c r="C70" s="4" t="inlineStr">
        <is>
          <t>🔍 Event Radar (UK) — what's worth doing this month.
This month: EDINBURGH 👇
🎄 Edinburgh's Christmas, Princes Street Gardens — opening weekend of the markets, free entry, from 14 Nov.
🎞️ Edinburgh Short Film Festival, Edinburgh — bite-size screenings for film lovers, 6–22 Nov.</t>
        </is>
      </c>
      <c r="D70" s="2" t="inlineStr">
        <is>
          <t>Edinburgh's Christmas 2026（开幕）</t>
        </is>
      </c>
      <c r="E70" s="2" t="inlineStr">
        <is>
          <t>East &amp; West Princes Street Gardens / George Street, Edinburgh</t>
        </is>
      </c>
      <c r="F70" s="2" t="inlineStr">
        <is>
          <t>venue_only</t>
        </is>
      </c>
      <c r="G70" s="5" t="inlineStr">
        <is>
          <t>14 Nov 2026 – 3 Jan 2027（窗口内为 14–30 Nov）</t>
        </is>
      </c>
      <c r="H70" s="5" t="inlineStr">
        <is>
          <t>本地生活类(集市/节庆)</t>
        </is>
      </c>
      <c r="I70" s="8" t="inlineStr">
        <is>
          <t>高热度</t>
        </is>
      </c>
      <c r="J70" s="5" t="inlineStr">
        <is>
          <t>爱丁堡官方冬季节庆，每年举办；免费入场、不用买票</t>
        </is>
      </c>
      <c r="K70" s="5" t="inlineStr">
        <is>
          <t>https://edinburgh.org/festivals/edinburghs-christmas/ ; https://edwinterfest.com/edinburgh-christmas/whats-on/traditional-christmas-markets</t>
        </is>
      </c>
      <c r="L70" s="5" t="inlineStr">
        <is>
          <t>开幕周末可以去；市集免费逛，每天 10:00–22:00</t>
        </is>
      </c>
      <c r="M70" s="5" t="inlineStr">
        <is>
          <t>—</t>
        </is>
      </c>
      <c r="N70" s="5" t="inlineStr">
        <is>
          <t>未取图：云端环境出站被拦（WebFetch EGRESS_BLOCKED），需在本地 Claude Code 补</t>
        </is>
      </c>
      <c r="O70" s="5" t="inlineStr">
        <is>
          <t>未完成</t>
        </is>
      </c>
    </row>
    <row r="71" ht="58" customHeight="1">
      <c r="A71" s="2" t="n"/>
      <c r="B71" s="3" t="n"/>
      <c r="C71" s="4" t="n"/>
      <c r="D71" s="2" t="inlineStr">
        <is>
          <t>Edinburgh Short Film Festival（第 16 届）</t>
        </is>
      </c>
      <c r="E71" s="2" t="inlineStr">
        <is>
          <t>Filmhouse, 88 Lothian Road, Edinburgh EH3 9BZ / Summerhall, Edinburgh</t>
        </is>
      </c>
      <c r="F71" s="2" t="inlineStr">
        <is>
          <t>exact</t>
        </is>
      </c>
      <c r="G71" s="5" t="inlineStr">
        <is>
          <t>6–22 Nov 2026</t>
        </is>
      </c>
      <c r="H71" s="5" t="inlineStr">
        <is>
          <t>电影/媒体</t>
        </is>
      </c>
      <c r="I71" s="7" t="inlineStr">
        <is>
          <t>潜在价值</t>
        </is>
      </c>
      <c r="J71" s="5" t="inlineStr">
        <is>
          <t>已办到第 16 届，在 FilmFreeway / Festhome 正规征片；没搜到售票数据</t>
        </is>
      </c>
      <c r="K71" s="5" t="inlineStr">
        <is>
          <t>https://filmfreeway.com/EdinburghShortFilmFestival ; https://www.awn.com/event/edinburgh-short-film-festival-2026</t>
        </is>
      </c>
      <c r="L71" s="5" t="inlineStr">
        <is>
          <t>短片放映门槛低，适合电影爱好者和传媒专业学生；具体场地和场次要看官网</t>
        </is>
      </c>
      <c r="M71" s="5" t="inlineStr">
        <is>
          <t>Reel Talk Club</t>
        </is>
      </c>
      <c r="N71" s="5" t="inlineStr">
        <is>
          <t>未取图：云端环境出站被拦（WebFetch EGRESS_BLOCKED），需在本地 Claude Code 补</t>
        </is>
      </c>
      <c r="O71" s="5" t="inlineStr">
        <is>
          <t>未完成</t>
        </is>
      </c>
    </row>
    <row r="72" ht="71.5" customHeight="1">
      <c r="A72" s="2" t="inlineStr">
        <is>
          <t>University of Stirling</t>
        </is>
      </c>
      <c r="B72" s="3" t="inlineStr">
        <is>
          <t>待制作：University of Stirling.png</t>
        </is>
      </c>
      <c r="C72" s="4" t="inlineStr">
        <is>
          <t>🔍 Event Radar (UK) — what's worth doing this month.
This month: STIRLING 👇
🏎️ Knockhill Live-Action &amp; Fireworks, Dunfermline — stunt driving + a big fireworks finale, 7 Nov.
🔥 Briarlands Bonfire Night, Stirling — a local farm bonfire &amp; fireworks, 7 Nov.</t>
        </is>
      </c>
      <c r="D72" s="2" t="inlineStr">
        <is>
          <t>Knockhill Live-Action &amp; Fireworks Spectacular（赛车表演 + 篝火烟花）</t>
        </is>
      </c>
      <c r="E72" s="2" t="inlineStr">
        <is>
          <t>Knockhill Racing Circuit, Dunfermline, Fife KY12 9TF</t>
        </is>
      </c>
      <c r="F72" s="2" t="inlineStr">
        <is>
          <t>exact</t>
        </is>
      </c>
      <c r="G72" s="5" t="inlineStr">
        <is>
          <t>7 Nov 2026（周六）13:00 开门，14:00 赛道表演，约 17:30 放烟花</t>
        </is>
      </c>
      <c r="H72" s="5" t="inlineStr">
        <is>
          <t>年轻人娱乐(烟花/赛车) + 一日游</t>
        </is>
      </c>
      <c r="I72" s="6" t="inlineStr">
        <is>
          <t>中热度</t>
        </is>
      </c>
      <c r="J72" s="5" t="inlineStr">
        <is>
          <t>苏格兰国家赛车场官方主办，年年举办；烟花由 Edinburgh 21CC Fireworks 制作；What's On Fife 收录</t>
        </is>
      </c>
      <c r="K72" s="5" t="inlineStr">
        <is>
          <t>https://www.knockhill.com/events/fixture-Live-Action-amp-Fireworks-Spectacular-id917 ; https://www.whatsonfife.co.uk/event/078801-live-action-and-fireworks-spectacular-at-knockhill</t>
        </is>
      </c>
      <c r="L72" s="5" t="inlineStr">
        <is>
          <t>赛车漂移表演 + 烟花，很特别；离 Stirling 约 35 公里、离 St Andrews 约 50 公里，适合组团开车去</t>
        </is>
      </c>
      <c r="M72" s="5" t="inlineStr">
        <is>
          <t>Day Trip Buddies；University of St Andrews</t>
        </is>
      </c>
      <c r="N72" s="5" t="inlineStr">
        <is>
          <t>未取图：云端环境出站被拦（WebFetch EGRESS_BLOCKED），需在本地 Claude Code 补</t>
        </is>
      </c>
      <c r="O72" s="5" t="inlineStr">
        <is>
          <t>未完成</t>
        </is>
      </c>
    </row>
    <row r="73" ht="58" customHeight="1">
      <c r="A73" s="2" t="n"/>
      <c r="B73" s="3" t="n"/>
      <c r="C73" s="4" t="n"/>
      <c r="D73" s="2" t="inlineStr">
        <is>
          <t>Briarlands Farm Bonfire Night</t>
        </is>
      </c>
      <c r="E73" s="2" t="inlineStr">
        <is>
          <t>Briarlands Farm, Blairdrummond, Stirling FK9 4UP</t>
        </is>
      </c>
      <c r="F73" s="2" t="inlineStr">
        <is>
          <t>exact</t>
        </is>
      </c>
      <c r="G73" s="5" t="inlineStr">
        <is>
          <t>7 Nov 2026（周六）</t>
        </is>
      </c>
      <c r="H73" s="5" t="inlineStr">
        <is>
          <t>年轻人娱乐(烟花)</t>
        </is>
      </c>
      <c r="I73" s="7" t="inlineStr">
        <is>
          <t>潜在价值</t>
        </is>
      </c>
      <c r="J73" s="5" t="inlineStr">
        <is>
          <t>What's On Stirling 收录，农场年年办的篝火夜；没有售票数据（Facebook 上搜到的"Sat 1 Nov"帖子是 2025 年的）</t>
        </is>
      </c>
      <c r="K73" s="5" t="inlineStr">
        <is>
          <t>https://www.whatsonstirling.co.uk/event/109377-briarlands-farm-bonfire-night/ ; https://briarlandsfarm.co.uk/events/</t>
        </is>
      </c>
      <c r="L73" s="5" t="inlineStr">
        <is>
          <t>Stirling 本地的篝火夜，离校园近</t>
        </is>
      </c>
      <c r="M73" s="5" t="inlineStr">
        <is>
          <t>—</t>
        </is>
      </c>
      <c r="N73" s="5" t="inlineStr">
        <is>
          <t>未取图：云端环境出站被拦（WebFetch EGRESS_BLOCKED），需在本地 Claude Code 补</t>
        </is>
      </c>
      <c r="O73" s="5" t="inlineStr">
        <is>
          <t>未完成</t>
        </is>
      </c>
    </row>
    <row r="74" ht="71.5" customHeight="1">
      <c r="A74" s="2" t="inlineStr">
        <is>
          <t>University of Aberdeen Freshers 2026</t>
        </is>
      </c>
      <c r="B74" s="3" t="inlineStr">
        <is>
          <t>待制作：University of Aberdeen Freshers 2026.png</t>
        </is>
      </c>
      <c r="C74" s="4" t="inlineStr">
        <is>
          <t>🔍 Event Radar (UK) — what's worth doing this month.
This month: ABERDEEN 👇
🎄 Aberdeen Christmas Village, Broad Street — festive food &amp; rides, free entry, from 12 Nov.
🎆 Aberdeen Fireworks Night, Aberdeen Beach — the council's free display (2026 details TBC), 5 Nov.</t>
        </is>
      </c>
      <c r="D74" s="2" t="inlineStr">
        <is>
          <t>Aberdeen Christmas Village 2026</t>
        </is>
      </c>
      <c r="E74" s="2" t="inlineStr">
        <is>
          <t>Broad Street, Aberdeen city centre</t>
        </is>
      </c>
      <c r="F74" s="2" t="inlineStr">
        <is>
          <t>venue_only</t>
        </is>
      </c>
      <c r="G74" s="5" t="inlineStr">
        <is>
          <t>12 Nov 2026 – 3 Jan 2027（窗口内为 12–30 Nov）</t>
        </is>
      </c>
      <c r="H74" s="5" t="inlineStr">
        <is>
          <t>本地生活类(集市/节庆)</t>
        </is>
      </c>
      <c r="I74" s="6" t="inlineStr">
        <is>
          <t>中热度</t>
        </is>
      </c>
      <c r="J74" s="5" t="inlineStr">
        <is>
          <t>Aberdeen 市议会、Aberdeen Inspired 主办，年年举办</t>
        </is>
      </c>
      <c r="K74" s="5" t="inlineStr">
        <is>
          <t>https://www.aberdeeninspired.com/festival/aberdeen-christmas-market/christmas-village ; https://www.aberdeencity.gov.uk/news/christmas-village-launches-citys-festive-celebrations</t>
        </is>
      </c>
      <c r="L74" s="5" t="inlineStr">
        <is>
          <t>市中心免费逛，开幕那周就能去</t>
        </is>
      </c>
      <c r="M74" s="5" t="inlineStr">
        <is>
          <t>—</t>
        </is>
      </c>
      <c r="N74" s="5" t="inlineStr">
        <is>
          <t>未取图：云端环境出站被拦（WebFetch EGRESS_BLOCKED），需在本地 Claude Code 补</t>
        </is>
      </c>
      <c r="O74" s="5" t="inlineStr">
        <is>
          <t>未完成</t>
        </is>
      </c>
    </row>
    <row r="75" ht="58" customHeight="1">
      <c r="A75" s="2" t="n"/>
      <c r="B75" s="3" t="n"/>
      <c r="C75" s="4" t="n"/>
      <c r="D75" s="2" t="inlineStr">
        <is>
          <t>Aberdeen Fireworks Night（市议会主办）</t>
        </is>
      </c>
      <c r="E75" s="2" t="inlineStr">
        <is>
          <t>Aberdeen Beach Esplanade 南段观看；往年烟花从 Port of Aberdeen North Pier 尽头燃放（⚠️2026 年的安排还没公布）</t>
        </is>
      </c>
      <c r="F75" s="2" t="inlineStr">
        <is>
          <t>venue_only</t>
        </is>
      </c>
      <c r="G75" s="5" t="inlineStr">
        <is>
          <t>⚠️每年固定 5 Nov（2026 年是周四）19:30；2026 年的官方公告还没看到</t>
        </is>
      </c>
      <c r="H75" s="5" t="inlineStr">
        <is>
          <t>年轻人娱乐(烟花)</t>
        </is>
      </c>
      <c r="I75" s="6" t="inlineStr">
        <is>
          <t>中热度</t>
        </is>
      </c>
      <c r="J75" s="5" t="inlineStr">
        <is>
          <t>Aberdeen 市议会年年主办的免费烟花；Press and Journal 每年都有报道</t>
        </is>
      </c>
      <c r="K75" s="5" t="inlineStr">
        <is>
          <t>https://www.aberdeencity.gov.uk/node/8869 ; https://www.pressandjournal.co.uk/fp/news/6869573/all-you-need-to-know-aberdeen-fireworks-2025/</t>
        </is>
      </c>
      <c r="L75" s="5" t="inlineStr">
        <is>
          <t>免费；推之前确认一下 2026 年的官方公告和燃放地点</t>
        </is>
      </c>
      <c r="M75" s="5" t="inlineStr">
        <is>
          <t>—</t>
        </is>
      </c>
      <c r="N75" s="5" t="inlineStr">
        <is>
          <t>未取图：云端环境出站被拦（WebFetch EGRESS_BLOCKED），需在本地 Claude Code 补</t>
        </is>
      </c>
      <c r="O75" s="5" t="inlineStr">
        <is>
          <t>未完成</t>
        </is>
      </c>
    </row>
    <row r="76" ht="71.5" customHeight="1">
      <c r="A76" s="2" t="inlineStr">
        <is>
          <t>BCU Fresher Hub 2026 / Aston Fresher Hub 2026 / SCCB| Birmingham Student Life / UCB Student Life</t>
        </is>
      </c>
      <c r="B76" s="3" t="inlineStr">
        <is>
          <t>待制作：BCU Fresher Hub 2026.png</t>
        </is>
      </c>
      <c r="C76" s="4" t="inlineStr">
        <is>
          <t>🔍 Event Radar (UK) — what's worth doing this month.
This month: BIRMINGHAM 👇
🎄 Frankfurt Christmas Market, Birmingham — German food &amp; mulled wine by New Street, from 5 Nov.
🎸 Bloc Party &amp; Interpol, Utilita Arena Birmingham — a 2000s indie double-header, 20 Nov.
🍽️ Festive Good Food Show, NEC Birmingham — celebrity chefs, tastings &amp; Christmas food shopping, 26–29 Nov.
⛸️ Big Wheel &amp; Ice Rink, Centenary Square, Birmingham — skating and city views, from 5 Nov.
🎸 Embrace 30th Anniversary Tour, O2 Academy Birmingham — Britpop classics live, 21 Nov.</t>
        </is>
      </c>
      <c r="D76" s="2" t="inlineStr">
        <is>
          <t>Birmingham's Frankfurt Christmas Market 2026</t>
        </is>
      </c>
      <c r="E76" s="2" t="inlineStr">
        <is>
          <t>Victoria Square &amp; New Street（Corporation Street 至 Bullring 段）, Birmingham city centre</t>
        </is>
      </c>
      <c r="F76" s="2" t="inlineStr">
        <is>
          <t>venue_only</t>
        </is>
      </c>
      <c r="G76" s="5" t="inlineStr">
        <is>
          <t>5 Nov – 24 Dec 2026（窗口内为 5–30 Nov；8 Nov 纪念日星期天 13:00 开）</t>
        </is>
      </c>
      <c r="H76" s="5" t="inlineStr">
        <is>
          <t>本地生活类(集市/美食)</t>
        </is>
      </c>
      <c r="I76" s="8" t="inlineStr">
        <is>
          <t>高热度</t>
        </is>
      </c>
      <c r="J76" s="5" t="inlineStr">
        <is>
          <t>伯明翰市议会官方公布日期；年年举办，号称德国、奥地利以外最大的正宗德式圣诞市集（主办方说法）</t>
        </is>
      </c>
      <c r="K76" s="5" t="inlineStr">
        <is>
          <t>https://www.birmingham.gov.uk/news/article/1841/birminghams_frankfurt_christmas_market_dates_confirmed ; https://thebfcm.co.uk/ ; https://www.centralbid.co.uk/events/birminghams-frankfurt-christmas-market-2026/</t>
        </is>
      </c>
      <c r="L76" s="5" t="inlineStr">
        <is>
          <t>免费入场，就在 New Street 站旁，吃喝逛一站搞定</t>
        </is>
      </c>
      <c r="M76" s="5" t="inlineStr">
        <is>
          <t>Snack Finds &amp; Picks</t>
        </is>
      </c>
      <c r="N76" s="5" t="inlineStr">
        <is>
          <t>未取图：云端环境出站被拦（WebFetch EGRESS_BLOCKED），需在本地 Claude Code 补</t>
        </is>
      </c>
      <c r="O76" s="5" t="inlineStr">
        <is>
          <t>未完成</t>
        </is>
      </c>
    </row>
    <row r="77" ht="58" customHeight="1">
      <c r="A77" s="2" t="n"/>
      <c r="B77" s="3" t="n"/>
      <c r="C77" s="4" t="n"/>
      <c r="D77" s="2" t="inlineStr">
        <is>
          <t>Bloc Party &amp; Interpol 联合巡演 伯明翰站</t>
        </is>
      </c>
      <c r="E77" s="2" t="inlineStr">
        <is>
          <t>Utilita Arena Birmingham, King Edwards Road, Birmingham B1 2AA</t>
        </is>
      </c>
      <c r="F77" s="2" t="inlineStr">
        <is>
          <t>exact</t>
        </is>
      </c>
      <c r="G77" s="5" t="inlineStr">
        <is>
          <t>20 Nov 2026（周五）19:30</t>
        </is>
      </c>
      <c r="H77" s="5" t="inlineStr">
        <is>
          <t>年轻人娱乐(Live Music/独立摇滚)</t>
        </is>
      </c>
      <c r="I77" s="8" t="inlineStr">
        <is>
          <t>高热度</t>
        </is>
      </c>
      <c r="J77" s="5" t="inlineStr">
        <is>
          <t>Live Nation、AXS、Ticketmaster 正规售票；这次巡演的英国首站；会唱 Silent Alarm、Antics 两张经典专辑里的歌</t>
        </is>
      </c>
      <c r="K77" s="5" t="inlineStr">
        <is>
          <t>https://www.livenation.co.uk/event/bloc-party-and-interpol-birmingham-tickets-edp1631240 ; https://www.songkick.com/concerts/42867381-bloc-party-at-utilita-arena-birmingham</t>
        </is>
      </c>
      <c r="L77" s="5" t="inlineStr">
        <is>
          <t>两支 2000 年代独立摇滚代表乐队同台；票价约 £36–61</t>
        </is>
      </c>
      <c r="M77" s="5" t="inlineStr">
        <is>
          <t>Live Music Crew</t>
        </is>
      </c>
      <c r="N77" s="5" t="inlineStr">
        <is>
          <t>未取图：云端环境出站被拦（WebFetch EGRESS_BLOCKED），需在本地 Claude Code 补</t>
        </is>
      </c>
      <c r="O77" s="5" t="inlineStr">
        <is>
          <t>未完成</t>
        </is>
      </c>
    </row>
    <row r="78" ht="58" customHeight="1">
      <c r="A78" s="2" t="n"/>
      <c r="B78" s="3" t="n"/>
      <c r="C78" s="4" t="n"/>
      <c r="D78" s="2" t="inlineStr">
        <is>
          <t>Festive Good Food Show（BBC Good Food Show Winter）</t>
        </is>
      </c>
      <c r="E78" s="2" t="inlineStr">
        <is>
          <t>NEC Birmingham, Halls 17–20, North Avenue, Marston Green, Birmingham B40 1NT</t>
        </is>
      </c>
      <c r="F78" s="2" t="inlineStr">
        <is>
          <t>exact</t>
        </is>
      </c>
      <c r="G78" s="5" t="inlineStr">
        <is>
          <t>26–29 Nov 2026（周四到周六 9:30–17:30，周日到 17:00）</t>
        </is>
      </c>
      <c r="H78" s="5" t="inlineStr">
        <is>
          <t>本地生活类(美食展)</t>
        </is>
      </c>
      <c r="I78" s="8" t="inlineStr">
        <is>
          <t>高热度</t>
        </is>
      </c>
      <c r="J78" s="5" t="inlineStr">
        <is>
          <t>英国最大的冬季美食展，年年在 NEC 办；NEC 和主办方官网都列出</t>
        </is>
      </c>
      <c r="K78" s="5" t="inlineStr">
        <is>
          <t>https://www.goodfoodshow.com/winter/ ; https://thenec.co.uk/events/good-food-show-winter</t>
        </is>
      </c>
      <c r="L78" s="5" t="inlineStr">
        <is>
          <t>试吃、名厨现场烹饪、圣诞美食采购一次搞定；NEC 有火车站（Birmingham International），票价看官网</t>
        </is>
      </c>
      <c r="M78" s="5" t="inlineStr">
        <is>
          <t>Snack Finds &amp; Picks；UK Food Lovers</t>
        </is>
      </c>
      <c r="N78" s="5" t="inlineStr">
        <is>
          <t>未取图：云端环境出站被拦（WebFetch EGRESS_BLOCKED），需在本地 Claude Code 补</t>
        </is>
      </c>
      <c r="O78" s="5" t="inlineStr">
        <is>
          <t>未完成</t>
        </is>
      </c>
    </row>
    <row r="79" ht="58" customHeight="1">
      <c r="A79" s="2" t="n"/>
      <c r="B79" s="3" t="n"/>
      <c r="C79" s="4" t="n"/>
      <c r="D79" s="2" t="inlineStr">
        <is>
          <t>Birmingham Big Wheel &amp; Ice Rink（Centenary Square）</t>
        </is>
      </c>
      <c r="E79" s="2" t="inlineStr">
        <is>
          <t>Centenary Square, Birmingham</t>
        </is>
      </c>
      <c r="F79" s="2" t="inlineStr">
        <is>
          <t>venue_only</t>
        </is>
      </c>
      <c r="G79" s="5" t="inlineStr">
        <is>
          <t>5 Nov 2026 – 3 Jan 2027，每天 10:00–22:00</t>
        </is>
      </c>
      <c r="H79" s="5" t="inlineStr">
        <is>
          <t>年轻人娱乐(滑冰/游乐)</t>
        </is>
      </c>
      <c r="I79" s="6" t="inlineStr">
        <is>
          <t>中热度</t>
        </is>
      </c>
      <c r="J79" s="5" t="inlineStr">
        <is>
          <t>跟圣诞市集同期，市集官方配套项目，年年举办；没有售票数据</t>
        </is>
      </c>
      <c r="K79" s="5" t="inlineStr">
        <is>
          <t>https://www.birmingham-now.co.uk/news/26551457.birmingham-frankfurt-christmas-market-2026---need-know/</t>
        </is>
      </c>
      <c r="L79" s="5" t="inlineStr">
        <is>
          <t>BCU 主校区附近，适合宿舍、群友组团去滑冰</t>
        </is>
      </c>
      <c r="M79" s="5" t="inlineStr">
        <is>
          <t>—</t>
        </is>
      </c>
      <c r="N79" s="5" t="inlineStr">
        <is>
          <t>未取图：云端环境出站被拦（WebFetch EGRESS_BLOCKED），需在本地 Claude Code 补</t>
        </is>
      </c>
      <c r="O79" s="5" t="inlineStr">
        <is>
          <t>未完成</t>
        </is>
      </c>
    </row>
    <row r="80" ht="58" customHeight="1">
      <c r="A80" s="2" t="n"/>
      <c r="B80" s="3" t="n"/>
      <c r="C80" s="4" t="n"/>
      <c r="D80" s="2" t="inlineStr">
        <is>
          <t>Embrace 30 周年巡演 伯明翰站</t>
        </is>
      </c>
      <c r="E80" s="2" t="inlineStr">
        <is>
          <t>O2 Academy Birmingham, 16–18 Horsefair, Bristol Street, Birmingham B1 1DB</t>
        </is>
      </c>
      <c r="F80" s="2" t="inlineStr">
        <is>
          <t>exact</t>
        </is>
      </c>
      <c r="G80" s="5" t="inlineStr">
        <is>
          <t>21 Nov 2026（周六）19:00</t>
        </is>
      </c>
      <c r="H80" s="5" t="inlineStr">
        <is>
          <t>年轻人娱乐(Live Music/英伦摇滚)</t>
        </is>
      </c>
      <c r="I80" s="6" t="inlineStr">
        <is>
          <t>中热度</t>
        </is>
      </c>
      <c r="J80" s="5" t="inlineStr">
        <is>
          <t>Live Nation 系场馆正规售票；乐队 30 周年新专辑巡演</t>
        </is>
      </c>
      <c r="K80" s="5" t="inlineStr">
        <is>
          <t>https://www.livenation.co.uk/o2-academy-birmingham-tickets-vdp3918 ; https://www.jambase.com/venue/o2-academy-birmingham</t>
        </is>
      </c>
      <c r="L80" s="5" t="inlineStr">
        <is>
          <t>市中心场馆，BCU、UCB 过去都方便</t>
        </is>
      </c>
      <c r="M80" s="5" t="inlineStr">
        <is>
          <t>—</t>
        </is>
      </c>
      <c r="N80" s="5" t="inlineStr">
        <is>
          <t>未取图：云端环境出站被拦（WebFetch EGRESS_BLOCKED），需在本地 Claude Code 补</t>
        </is>
      </c>
      <c r="O80" s="5" t="inlineStr">
        <is>
          <t>未完成</t>
        </is>
      </c>
    </row>
    <row r="81" ht="60" customHeight="1">
      <c r="A81" s="2" t="inlineStr">
        <is>
          <t>Wolverhampton Freshers Hub 2026 / Harper Adams Campus Life</t>
        </is>
      </c>
      <c r="B81" s="3" t="inlineStr">
        <is>
          <t>待制作：Wolverhampton Freshers Hub 2026.png</t>
        </is>
      </c>
      <c r="C81" s="4" t="inlineStr">
        <is>
          <t>🔍 Event Radar (UK) — what's worth doing this month.
This month: BONFIRE NIGHT 👇
🔥 Weston Park Bonfire Night, Shifnal — a giant bonfire, two fireworks shows and a funfair, 8 Nov.</t>
        </is>
      </c>
      <c r="D81" s="2" t="inlineStr">
        <is>
          <t>Weston Park Bonfire &amp; Fireworks Night 2026</t>
        </is>
      </c>
      <c r="E81" s="2" t="inlineStr">
        <is>
          <t>Weston Park, Weston-under-Lizard, Shifnal TF11 8LE</t>
        </is>
      </c>
      <c r="F81" s="2" t="inlineStr">
        <is>
          <t>exact</t>
        </is>
      </c>
      <c r="G81" s="5" t="inlineStr">
        <is>
          <t>8 Nov 2026（周日）15:00 开门，17:00 点篝火，18:00 和 19:30 两场烟花</t>
        </is>
      </c>
      <c r="H81" s="5" t="inlineStr">
        <is>
          <t>年轻人娱乐(烟花) + 一日游</t>
        </is>
      </c>
      <c r="I81" s="6" t="inlineStr">
        <is>
          <t>中热度</t>
        </is>
      </c>
      <c r="J81" s="5" t="inlineStr">
        <is>
          <t>年年举办的庄园篝火夜，在 See Tickets / Ents24 正规售票，Visit Telford 有收录</t>
        </is>
      </c>
      <c r="K81" s="5" t="inlineStr">
        <is>
          <t>https://weston-park.com/bonfire-fireworks-night/ ; https://www.seetickets.com/event/bonfire-fireworks-night-2026/weston-park/3697208</t>
        </is>
      </c>
      <c r="L81" s="5" t="inlineStr">
        <is>
          <t>离 Harper Adams 和 Wolverhampton 都不远；乡村庄园 + 游乐场 + 两场烟花，适合当一日游</t>
        </is>
      </c>
      <c r="M81" s="5" t="inlineStr">
        <is>
          <t>Day Trip Buddies</t>
        </is>
      </c>
      <c r="N81" s="5" t="inlineStr">
        <is>
          <t>未取图：云端环境出站被拦（WebFetch EGRESS_BLOCKED），需在本地 Claude Code 补</t>
        </is>
      </c>
      <c r="O81" s="5" t="inlineStr">
        <is>
          <t>未完成</t>
        </is>
      </c>
    </row>
    <row r="82" ht="58" customHeight="1">
      <c r="A82" s="2" t="inlineStr">
        <is>
          <t>Coventry Fresher Hub 2026 / Warwick Student Life</t>
        </is>
      </c>
      <c r="B82" s="3" t="inlineStr">
        <is>
          <t>待制作：Coventry Fresher Hub 2026.png</t>
        </is>
      </c>
      <c r="C82" s="4" t="inlineStr">
        <is>
          <t>🔍 Event Radar (UK) — what's worth doing this month.
This month: COVENTRY &amp; WARWICK 👇
🎲 EPIC.LAN TT11 Tabletop Weekender, Coventry — a weekend of board games plus a mini LAN, 20–22 Nov.
🎤 Comedy at Warwick Arts Centre, University of Warwick — Nish Kumar, Flo &amp; Joan, Jonathan Pie &amp; more, 12–27 Nov.
🎸 The Feeling, hmv Empire, Coventry — 20 years of "Twelve Stops and Home", 26 Nov.
🎤 Bill Bailey, Coventry Building Society Arena — a big Friday night of comedy, 13 Nov.
🎤 Melanie C (intimate show), hmv Empire, Coventry — a Spice Girl up close (check tickets), 28 Nov.</t>
        </is>
      </c>
      <c r="D82" s="2" t="inlineStr">
        <is>
          <t>EPIC.LAN TT11：桌游周末 + 小型 LAN</t>
        </is>
      </c>
      <c r="E82" s="2" t="inlineStr">
        <is>
          <t>DoubleTree by Hilton Coventry, Paradise Way, Walsgrave on Sowe, Coventry CV2 2ST</t>
        </is>
      </c>
      <c r="F82" s="2" t="inlineStr">
        <is>
          <t>exact</t>
        </is>
      </c>
      <c r="G82" s="5" t="inlineStr">
        <is>
          <t>20 Nov 2026（周五）14:00 – 22 Nov 2026（周日 15:00/16:00）</t>
        </is>
      </c>
      <c r="H82" s="5" t="inlineStr">
        <is>
          <t>兴趣类(桌游/游戏)</t>
        </is>
      </c>
      <c r="I82" s="6" t="inlineStr">
        <is>
          <t>中热度</t>
        </is>
      </c>
      <c r="J82" s="5" t="inlineStr">
        <is>
          <t>EPIC.LAN 官方活动（第 11 届桌游周末）；桌游区和约 40 个电脑位</t>
        </is>
      </c>
      <c r="K82" s="5" t="inlineStr">
        <is>
          <t>https://www.epiclan.co.uk/tt11 ; https://epiclan.co.uk/events</t>
        </is>
      </c>
      <c r="L82" s="5" t="inlineStr">
        <is>
          <t>桌游周末票 £42、LAN 周末票 £62；Warwick、Coventry 学生开车 15 分钟</t>
        </is>
      </c>
      <c r="M82" s="5" t="inlineStr">
        <is>
          <t>The Gaming Corner</t>
        </is>
      </c>
      <c r="N82" s="5" t="inlineStr">
        <is>
          <t>未取图：云端环境出站被拦（WebFetch EGRESS_BLOCKED），需在本地 Claude Code 补</t>
        </is>
      </c>
      <c r="O82" s="5" t="inlineStr">
        <is>
          <t>未完成</t>
        </is>
      </c>
    </row>
    <row r="83" ht="71.5" customHeight="1">
      <c r="A83" s="2" t="n"/>
      <c r="B83" s="3" t="n"/>
      <c r="C83" s="4" t="n"/>
      <c r="D83" s="2" t="inlineStr">
        <is>
          <t>Warwick Arts Centre 11 月喜剧：Mike Wozniak / Flo &amp; Joan / Nish Kumar / Jonathan Pie</t>
        </is>
      </c>
      <c r="E83" s="2" t="inlineStr">
        <is>
          <t>Warwick Arts Centre, University of Warwick, Coventry CV4 7AL</t>
        </is>
      </c>
      <c r="F83" s="2" t="inlineStr">
        <is>
          <t>exact</t>
        </is>
      </c>
      <c r="G83" s="5" t="inlineStr">
        <is>
          <t>12 Nov（Mike Wozniak）/ 20 Nov（Flo &amp; Joan）/ 21 Nov（Nish Kumar）/ 27 Nov（Jonathan Pie）2026，都是 19:30 左右</t>
        </is>
      </c>
      <c r="H83" s="5" t="inlineStr">
        <is>
          <t>年轻人娱乐(喜剧)</t>
        </is>
      </c>
      <c r="I83" s="6" t="inlineStr">
        <is>
          <t>中热度</t>
        </is>
      </c>
      <c r="J83" s="5" t="inlineStr">
        <is>
          <t>Chortle（英国喜剧指南）场馆日程列出；都是知名巡演喜剧人；个别场次时间各来源略有出入</t>
        </is>
      </c>
      <c r="K83" s="5" t="inlineStr">
        <is>
          <t>https://www.chortle.co.uk/venues/11/england_midlands_west_midlands/61/coventry_warwick_arts_centre ; https://www.warwickartscentre.co.uk/</t>
        </is>
      </c>
      <c r="L83" s="5" t="inlineStr">
        <is>
          <t>就在 Warwick 校园里；Coventry 学生坐公交可达</t>
        </is>
      </c>
      <c r="M83" s="5" t="inlineStr">
        <is>
          <t>—</t>
        </is>
      </c>
      <c r="N83" s="5" t="inlineStr">
        <is>
          <t>未取图：云端环境出站被拦（WebFetch EGRESS_BLOCKED），需在本地 Claude Code 补</t>
        </is>
      </c>
      <c r="O83" s="5" t="inlineStr">
        <is>
          <t>未完成</t>
        </is>
      </c>
    </row>
    <row r="84" ht="58" customHeight="1">
      <c r="A84" s="2" t="n"/>
      <c r="B84" s="3" t="n"/>
      <c r="C84" s="4" t="n"/>
      <c r="D84" s="2" t="inlineStr">
        <is>
          <t>The Feeling《Twelve Stops and Home》20 周年巡演</t>
        </is>
      </c>
      <c r="E84" s="2" t="inlineStr">
        <is>
          <t>hmv Empire, 22 Hertford Street, Coventry CV1 1LF</t>
        </is>
      </c>
      <c r="F84" s="2" t="inlineStr">
        <is>
          <t>exact</t>
        </is>
      </c>
      <c r="G84" s="5" t="inlineStr">
        <is>
          <t>26 Nov 2026（周四）19:00</t>
        </is>
      </c>
      <c r="H84" s="5" t="inlineStr">
        <is>
          <t>年轻人娱乐(Live Music/英伦流行)</t>
        </is>
      </c>
      <c r="I84" s="6" t="inlineStr">
        <is>
          <t>中热度</t>
        </is>
      </c>
      <c r="J84" s="5" t="inlineStr">
        <is>
          <t>JamBase 等多个票务站日期一致；成名专辑 20 周年巡演</t>
        </is>
      </c>
      <c r="K84" s="5" t="inlineStr">
        <is>
          <t>https://www.jambase.com/show/the-feeling-hmv-empire-coventry-20261126 ; https://www.hmvempire.com/</t>
        </is>
      </c>
      <c r="L84" s="5" t="inlineStr">
        <is>
          <t>票价约 £38.50 起；场馆在市中心，Coventry 大学走路就到</t>
        </is>
      </c>
      <c r="M84" s="5" t="inlineStr">
        <is>
          <t>—</t>
        </is>
      </c>
      <c r="N84" s="5" t="inlineStr">
        <is>
          <t>未取图：云端环境出站被拦（WebFetch EGRESS_BLOCKED），需在本地 Claude Code 补</t>
        </is>
      </c>
      <c r="O84" s="5" t="inlineStr">
        <is>
          <t>未完成</t>
        </is>
      </c>
    </row>
    <row r="85" ht="58" customHeight="1">
      <c r="A85" s="2" t="n"/>
      <c r="B85" s="3" t="n"/>
      <c r="C85" s="4" t="n"/>
      <c r="D85" s="2" t="inlineStr">
        <is>
          <t>Bill Bailey 单口喜剧巡演 考文垂站</t>
        </is>
      </c>
      <c r="E85" s="2" t="inlineStr">
        <is>
          <t>Coventry Building Society Arena, Judds Lane, Coventry CV6 6GE</t>
        </is>
      </c>
      <c r="F85" s="2" t="inlineStr">
        <is>
          <t>exact</t>
        </is>
      </c>
      <c r="G85" s="5" t="inlineStr">
        <is>
          <t>13 Nov 2026（周五）20:00</t>
        </is>
      </c>
      <c r="H85" s="5" t="inlineStr">
        <is>
          <t>年轻人娱乐(喜剧)</t>
        </is>
      </c>
      <c r="I85" s="6" t="inlineStr">
        <is>
          <t>中热度</t>
        </is>
      </c>
      <c r="J85" s="5" t="inlineStr">
        <is>
          <t>Ticketmaster 正规售票；英国顶级喜剧人，体育馆级别的场次</t>
        </is>
      </c>
      <c r="K85" s="5" t="inlineStr">
        <is>
          <t>https://www.ticketmaster.co.uk/coventry-building-society-arena-tickets-coventry/venue/452099 ; https://www.coventrybuildingsocietyarena.co.uk/</t>
        </is>
      </c>
      <c r="L85" s="5" t="inlineStr">
        <is>
          <t>周五晚上的大场喜剧；体育馆在城北，有火车站（Coventry Arena）</t>
        </is>
      </c>
      <c r="M85" s="5" t="inlineStr">
        <is>
          <t>—</t>
        </is>
      </c>
      <c r="N85" s="5" t="inlineStr">
        <is>
          <t>未取图：云端环境出站被拦（WebFetch EGRESS_BLOCKED），需在本地 Claude Code 补</t>
        </is>
      </c>
      <c r="O85" s="5" t="inlineStr">
        <is>
          <t>未完成</t>
        </is>
      </c>
    </row>
    <row r="86" ht="58" customHeight="1">
      <c r="A86" s="2" t="n"/>
      <c r="B86" s="3" t="n"/>
      <c r="C86" s="4" t="n"/>
      <c r="D86" s="2" t="inlineStr">
        <is>
          <t>Melanie C 小型专场</t>
        </is>
      </c>
      <c r="E86" s="2" t="inlineStr">
        <is>
          <t>hmv Empire, 22 Hertford Street, Coventry CV1 1LF</t>
        </is>
      </c>
      <c r="F86" s="2" t="inlineStr">
        <is>
          <t>exact</t>
        </is>
      </c>
      <c r="G86" s="5" t="inlineStr">
        <is>
          <t>28 Nov 2026（周六）</t>
        </is>
      </c>
      <c r="H86" s="5" t="inlineStr">
        <is>
          <t>年轻人娱乐(Live Music/流行)</t>
        </is>
      </c>
      <c r="I86" s="7" t="inlineStr">
        <is>
          <t>潜在价值</t>
        </is>
      </c>
      <c r="J86" s="5" t="inlineStr">
        <is>
          <t>只在场馆官网日程里看到，没有第三方票务确认</t>
        </is>
      </c>
      <c r="K86" s="5" t="inlineStr">
        <is>
          <t>https://www.hmvempire.com/</t>
        </is>
      </c>
      <c r="L86" s="5" t="inlineStr">
        <is>
          <t>前辣妹组合成员的近距离小场；推之前确认一下票务页</t>
        </is>
      </c>
      <c r="M86" s="5" t="inlineStr">
        <is>
          <t>—</t>
        </is>
      </c>
      <c r="N86" s="5" t="inlineStr">
        <is>
          <t>未取图：云端环境出站被拦（WebFetch EGRESS_BLOCKED），需在本地 Claude Code 补</t>
        </is>
      </c>
      <c r="O86" s="5" t="inlineStr">
        <is>
          <t>未完成</t>
        </is>
      </c>
    </row>
    <row r="87" ht="58" customHeight="1">
      <c r="A87" s="2" t="inlineStr">
        <is>
          <t>University of Leicester / De Montfort University</t>
        </is>
      </c>
      <c r="B87" s="3" t="inlineStr">
        <is>
          <t>待制作：University of Leicester.png</t>
        </is>
      </c>
      <c r="C87" s="4" t="inlineStr">
        <is>
          <t>🔍 Event Radar (UK) — what's worth doing this month.
This month: LEICESTER 👇
📝 John Cooper Clarke, De Montfort Hall, Leicester — the punk poet live, 25 Nov.
🎄 Leicester Christmas Market &amp; ice rink, Gallowtree Gate — festive stalls &amp; skating (dates TBC), mid-Nov.</t>
        </is>
      </c>
      <c r="D87" s="2" t="inlineStr">
        <is>
          <t>John Cooper Clarke 巡演 莱斯特站</t>
        </is>
      </c>
      <c r="E87" s="2" t="inlineStr">
        <is>
          <t>De Montfort Hall, Granville Road, Leicester LE1 7RU</t>
        </is>
      </c>
      <c r="F87" s="2" t="inlineStr">
        <is>
          <t>exact</t>
        </is>
      </c>
      <c r="G87" s="5" t="inlineStr">
        <is>
          <t>25 Nov 2026（周三）</t>
        </is>
      </c>
      <c r="H87" s="5" t="inlineStr">
        <is>
          <t>年轻人娱乐(诗歌/Live)</t>
        </is>
      </c>
      <c r="I87" s="6" t="inlineStr">
        <is>
          <t>中热度</t>
        </is>
      </c>
      <c r="J87" s="5" t="inlineStr">
        <is>
          <t>多个票务汇总站（Songkick、Stereoboard 等）日期一致；朋克诗人，现场口碑好</t>
        </is>
      </c>
      <c r="K87" s="5" t="inlineStr">
        <is>
          <t>https://www.songkick.com/venues/1771-de-montfort-hall/calendar ; https://www.stereoboard.com/venues/leicester/de-montfort-hall</t>
        </is>
      </c>
      <c r="L87" s="5" t="inlineStr">
        <is>
          <t>英国标志性朋克诗人；De Montfort Hall 离 DMU、Leicester 大学都近</t>
        </is>
      </c>
      <c r="M87" s="5" t="inlineStr">
        <is>
          <t>—</t>
        </is>
      </c>
      <c r="N87" s="5" t="inlineStr">
        <is>
          <t>未取图：云端环境出站被拦（WebFetch EGRESS_BLOCKED），需在本地 Claude Code 补</t>
        </is>
      </c>
      <c r="O87" s="5" t="inlineStr">
        <is>
          <t>未完成</t>
        </is>
      </c>
    </row>
    <row r="88" ht="58" customHeight="1">
      <c r="A88" s="2" t="n"/>
      <c r="B88" s="3" t="n"/>
      <c r="C88" s="4" t="n"/>
      <c r="D88" s="2" t="inlineStr">
        <is>
          <t>Leicester Christmas Market &amp; 溜冰场</t>
        </is>
      </c>
      <c r="E88" s="2" t="inlineStr">
        <is>
          <t>Gallowtree Gate 一带, Leicester city centre</t>
        </is>
      </c>
      <c r="F88" s="2" t="inlineStr">
        <is>
          <t>venue_only</t>
        </is>
      </c>
      <c r="G88" s="5" t="inlineStr">
        <is>
          <t>⚠️12 Nov – 27 Dec 2026（官网写这个日期，但页面还留着 2024 年的文字，待核实）</t>
        </is>
      </c>
      <c r="H88" s="5" t="inlineStr">
        <is>
          <t>本地生活类(集市/滑冰)</t>
        </is>
      </c>
      <c r="I88" s="7" t="inlineStr">
        <is>
          <t>潜在价值</t>
        </is>
      </c>
      <c r="J88" s="5" t="inlineStr">
        <is>
          <t>市中心年年办的圣诞市集；2026 年日期只在官网看到，页面没更新干净</t>
        </is>
      </c>
      <c r="K88" s="5" t="inlineStr">
        <is>
          <t>https://leicesterchristmasmarket.co.uk/</t>
        </is>
      </c>
      <c r="L88" s="5" t="inlineStr">
        <is>
          <t>免费逛；推之前确认开市日期</t>
        </is>
      </c>
      <c r="M88" s="5" t="inlineStr">
        <is>
          <t>—</t>
        </is>
      </c>
      <c r="N88" s="5" t="inlineStr">
        <is>
          <t>未取图：云端环境出站被拦（WebFetch EGRESS_BLOCKED），需在本地 Claude Code 补</t>
        </is>
      </c>
      <c r="O88" s="5" t="inlineStr">
        <is>
          <t>未完成</t>
        </is>
      </c>
    </row>
    <row r="89" ht="58" customHeight="1">
      <c r="A89" s="2" t="inlineStr">
        <is>
          <t>Staffs Student Life | Stoke / Keele Campus Life</t>
        </is>
      </c>
      <c r="B89" s="3" t="inlineStr">
        <is>
          <t>待制作：Staffs Student Life | Stoke.png</t>
        </is>
      </c>
      <c r="C89" s="4" t="inlineStr">
        <is>
          <t>🔍 Event Radar (UK) — what's worth doing this month.
This month: STOKE 👇
🎤 Stoke Comedy Festival, King's Hall — Adam Kay, The Traitors' Hannah Byczkowski &amp; more, 13–15 Nov.
🎃 Trentham Halloween Festival, Stoke-on-Trent — last day of fire shows, pumpkin trail &amp; silent disco, 1 Nov.</t>
        </is>
      </c>
      <c r="D89" s="2" t="inlineStr">
        <is>
          <t>Stoke-on-Trent Comedy Festival（含 Adam Kay、Hannah Byczkowski）</t>
        </is>
      </c>
      <c r="E89" s="2" t="inlineStr">
        <is>
          <t>King's Hall, Glebe Street, Stoke-on-Trent ST4 1HH</t>
        </is>
      </c>
      <c r="F89" s="2" t="inlineStr">
        <is>
          <t>exact</t>
        </is>
      </c>
      <c r="G89" s="5" t="inlineStr">
        <is>
          <t>13–15 Nov 2026（Adam Kay：14 Nov 20:00）</t>
        </is>
      </c>
      <c r="H89" s="5" t="inlineStr">
        <is>
          <t>年轻人娱乐(喜剧)</t>
        </is>
      </c>
      <c r="I89" s="6" t="inlineStr">
        <is>
          <t>中热度</t>
        </is>
      </c>
      <c r="J89" s="5" t="inlineStr">
        <is>
          <t>市政场馆 King's Hall 主办的喜剧节；Adam Kay（This Is Going to Hurt）是知名巡演喜剧人</t>
        </is>
      </c>
      <c r="K89" s="5" t="inlineStr">
        <is>
          <t>https://www.stoke.gov.uk/kingshallevents ; https://www.songkick.com/metro-areas/24537-uk-stoke-on-trent/november-2026</t>
        </is>
      </c>
      <c r="L89" s="5" t="inlineStr">
        <is>
          <t>周末喜剧节，有好几场可以选；Byczkowski 是《The Traitors》第一季冠军，话题度高</t>
        </is>
      </c>
      <c r="M89" s="5" t="inlineStr">
        <is>
          <t>—</t>
        </is>
      </c>
      <c r="N89" s="5" t="inlineStr">
        <is>
          <t>未取图：云端环境出站被拦（WebFetch EGRESS_BLOCKED），需在本地 Claude Code 补</t>
        </is>
      </c>
      <c r="O89" s="5" t="inlineStr">
        <is>
          <t>未完成</t>
        </is>
      </c>
    </row>
    <row r="90" ht="58" customHeight="1">
      <c r="A90" s="2" t="n"/>
      <c r="B90" s="3" t="n"/>
      <c r="C90" s="4" t="n"/>
      <c r="D90" s="2" t="inlineStr">
        <is>
          <t>Trentham Halloween Festival</t>
        </is>
      </c>
      <c r="E90" s="2" t="inlineStr">
        <is>
          <t>Trentham Estate, Stone Road, Trentham, Stoke-on-Trent ST4 8JG</t>
        </is>
      </c>
      <c r="F90" s="2" t="inlineStr">
        <is>
          <t>exact</t>
        </is>
      </c>
      <c r="G90" s="5" t="inlineStr">
        <is>
          <t>31 Oct – 1 Nov 2026（窗口内只有 1 Nov）</t>
        </is>
      </c>
      <c r="H90" s="5" t="inlineStr">
        <is>
          <t>年轻人娱乐(万圣节/户外)</t>
        </is>
      </c>
      <c r="I90" s="6" t="inlineStr">
        <is>
          <t>中热度</t>
        </is>
      </c>
      <c r="J90" s="5" t="inlineStr">
        <is>
          <t>Trentham Estate 官方主办，Visit Staffordshire 收录；有火舞表演、南瓜灯小路、静音 disco</t>
        </is>
      </c>
      <c r="K90" s="5" t="inlineStr">
        <is>
          <t>https://trentham.co.uk/events/trentham-halloween-festival/ ; https://www.visitstaffordshire.com/event/trentham-halloween-festival/234108101/</t>
        </is>
      </c>
      <c r="L90" s="5" t="inlineStr">
        <is>
          <t>离 Keele、Staffs 都近；静音 disco 和火舞适合年轻人</t>
        </is>
      </c>
      <c r="M90" s="5" t="inlineStr">
        <is>
          <t>—</t>
        </is>
      </c>
      <c r="N90" s="5" t="inlineStr">
        <is>
          <t>未取图：云端环境出站被拦（WebFetch EGRESS_BLOCKED），需在本地 Claude Code 补</t>
        </is>
      </c>
      <c r="O90" s="5" t="inlineStr">
        <is>
          <t>未完成</t>
        </is>
      </c>
    </row>
    <row r="91" ht="71.5" customHeight="1">
      <c r="A91" s="2" t="inlineStr">
        <is>
          <t>The University of Manchester / Manchester Metropolitan University</t>
        </is>
      </c>
      <c r="B91" s="3" t="inlineStr">
        <is>
          <t>待制作：The University of Manchester.png</t>
        </is>
      </c>
      <c r="C91" s="4" t="inlineStr">
        <is>
          <t>🔍 Event Radar (UK) — what's worth doing this month.
This month: MANCHESTER 👇
🎄 Manchester Christmas Markets, Manchester city centre — the markets are back, free to wander, from 6 Nov.
🎆 Free Council Fireworks, Platt Fields, Fallowfield — lantern parade + fireworks, completely free, 7 Nov.
💡 Northern Lights Manchester, Heaton Park — "A Christmas Time Machine" light trail, from 19 Nov.
🎤 Phoebe Bridgers, Co-op Live, Manchester — an indie heavyweight live, 26 Nov.
🎸 Blossoms, Co-op Live, Manchester — the local heroes' hometown arena show, 28 Nov.</t>
        </is>
      </c>
      <c r="D91" s="2" t="inlineStr">
        <is>
          <t>Manchester Christmas Markets 2026</t>
        </is>
      </c>
      <c r="E91" s="2" t="inlineStr">
        <is>
          <t>Albert Square / Cathedral Gardens / Exchange Square 等，Manchester city centre</t>
        </is>
      </c>
      <c r="F91" s="2" t="inlineStr">
        <is>
          <t>venue_only</t>
        </is>
      </c>
      <c r="G91" s="5" t="inlineStr">
        <is>
          <t>6 Nov – 22 Dec 2026（窗口内为 6–30 Nov）</t>
        </is>
      </c>
      <c r="H91" s="5" t="inlineStr">
        <is>
          <t>本地生活类(集市/美食)</t>
        </is>
      </c>
      <c r="I91" s="8" t="inlineStr">
        <is>
          <t>高热度</t>
        </is>
      </c>
      <c r="J91" s="5" t="inlineStr">
        <is>
          <t>年年举办的全英知名圣诞市集，The Manc 报道了 2026 年开市日期和新增点位</t>
        </is>
      </c>
      <c r="K91" s="5" t="inlineStr">
        <is>
          <t>https://themanc.com/news/manchester-christmas-markets-2026-opening-date-announced-including-new-spots/ ; https://www.visitmanchester.com/whats-on/whats-on-this-christmas-in-manchester/</t>
        </is>
      </c>
      <c r="L91" s="5" t="inlineStr">
        <is>
          <t>免费入场，市中心多个点位，逛吃一条龙</t>
        </is>
      </c>
      <c r="M91" s="5" t="inlineStr">
        <is>
          <t>UK Food Lovers</t>
        </is>
      </c>
      <c r="N91" s="5" t="inlineStr">
        <is>
          <t>未取图：云端环境出站被拦（WebFetch EGRESS_BLOCKED），需在本地 Claude Code 补</t>
        </is>
      </c>
      <c r="O91" s="5" t="inlineStr">
        <is>
          <t>未完成</t>
        </is>
      </c>
    </row>
    <row r="92" ht="58" customHeight="1">
      <c r="A92" s="2" t="n"/>
      <c r="B92" s="3" t="n"/>
      <c r="C92" s="4" t="n"/>
      <c r="D92" s="2" t="inlineStr">
        <is>
          <t>Manchester 市政免费烟花夜（Platt Fields / Heaton Park / Wythenshawe Park）</t>
        </is>
      </c>
      <c r="E92" s="2" t="inlineStr">
        <is>
          <t>Platt Fields Park, Wilmslow Road, Fallowfield, Manchester M14 6LA（另有 Heaton Park、Wythenshawe Park 两个点）</t>
        </is>
      </c>
      <c r="F92" s="2" t="inlineStr">
        <is>
          <t>exact</t>
        </is>
      </c>
      <c r="G92" s="5" t="inlineStr">
        <is>
          <t>7 Nov 2026（周六）17:00 低噪音场，20:00 主场烟花，之前有灯笼游行</t>
        </is>
      </c>
      <c r="H92" s="5" t="inlineStr">
        <is>
          <t>年轻人娱乐(烟花)</t>
        </is>
      </c>
      <c r="I92" s="8" t="inlineStr">
        <is>
          <t>高热度</t>
        </is>
      </c>
      <c r="J92" s="5" t="inlineStr">
        <is>
          <t>Manchester 市议会官方公布：市政烟花 2019 年后首次恢复；三个公园同时办</t>
        </is>
      </c>
      <c r="K92" s="5" t="inlineStr">
        <is>
          <t>https://www.manchester.gov.uk/news-stories/2026/free-fireworks-night-events-to-make-spectacular-return-in-manchester</t>
        </is>
      </c>
      <c r="L92" s="5" t="inlineStr">
        <is>
          <t>完全免费；Platt Fields 就在 Fallowfield 学生区，UoM 学生走路就到</t>
        </is>
      </c>
      <c r="M92" s="5" t="inlineStr">
        <is>
          <t>—</t>
        </is>
      </c>
      <c r="N92" s="5" t="inlineStr">
        <is>
          <t>未取图：云端环境出站被拦（WebFetch EGRESS_BLOCKED），需在本地 Claude Code 补</t>
        </is>
      </c>
      <c r="O92" s="5" t="inlineStr">
        <is>
          <t>未完成</t>
        </is>
      </c>
    </row>
    <row r="93" ht="58" customHeight="1">
      <c r="A93" s="2" t="n"/>
      <c r="B93" s="3" t="n"/>
      <c r="C93" s="4" t="n"/>
      <c r="D93" s="2" t="inlineStr">
        <is>
          <t>Northern Lights Manchester 灯光步道（主题：A Christmas Time Machine）</t>
        </is>
      </c>
      <c r="E93" s="2" t="inlineStr">
        <is>
          <t>Heaton Park, Middleton Road, Manchester M25 2SW</t>
        </is>
      </c>
      <c r="F93" s="2" t="inlineStr">
        <is>
          <t>exact</t>
        </is>
      </c>
      <c r="G93" s="5" t="inlineStr">
        <is>
          <t>19 Nov – 31 Dec 2026</t>
        </is>
      </c>
      <c r="H93" s="5" t="inlineStr">
        <is>
          <t>本地生活类(灯光步道)</t>
        </is>
      </c>
      <c r="I93" s="6" t="inlineStr">
        <is>
          <t>中热度</t>
        </is>
      </c>
      <c r="J93" s="5" t="inlineStr">
        <is>
          <t>See Tickets 正规售票；今年新主题</t>
        </is>
      </c>
      <c r="K93" s="5" t="inlineStr">
        <is>
          <t>https://northernlightsmanchester.seetickets.com/tour/northern-lights-manchester ; https://themanc.com/whats-on-manchester/northern-lights-trail-heaton-park-manchester/</t>
        </is>
      </c>
      <c r="L93" s="5" t="inlineStr">
        <is>
          <t>peak 票 £17.50–25，off-peak £13.50–19.50，加 £1.75 手续费；选 off-peak 更划算</t>
        </is>
      </c>
      <c r="M93" s="5" t="inlineStr">
        <is>
          <t>—</t>
        </is>
      </c>
      <c r="N93" s="5" t="inlineStr">
        <is>
          <t>未取图：云端环境出站被拦（WebFetch EGRESS_BLOCKED），需在本地 Claude Code 补</t>
        </is>
      </c>
      <c r="O93" s="5" t="inlineStr">
        <is>
          <t>未完成</t>
        </is>
      </c>
    </row>
    <row r="94" ht="58" customHeight="1">
      <c r="A94" s="2" t="n"/>
      <c r="B94" s="3" t="n"/>
      <c r="C94" s="4" t="n"/>
      <c r="D94" s="2" t="inlineStr">
        <is>
          <t>Phoebe Bridgers 演唱会（嘉宾 Isaac Wood、Anaïs）</t>
        </is>
      </c>
      <c r="E94" s="2" t="inlineStr">
        <is>
          <t>Co-op Live, Etihad Campus, Manchester</t>
        </is>
      </c>
      <c r="F94" s="2" t="inlineStr">
        <is>
          <t>venue_only</t>
        </is>
      </c>
      <c r="G94" s="5" t="inlineStr">
        <is>
          <t>26 Nov 2026（周四）</t>
        </is>
      </c>
      <c r="H94" s="5" t="inlineStr">
        <is>
          <t>年轻人娱乐(Live Music/独立)</t>
        </is>
      </c>
      <c r="I94" s="6" t="inlineStr">
        <is>
          <t>中热度</t>
        </is>
      </c>
      <c r="J94" s="5" t="inlineStr">
        <is>
          <t>Co-op Live 场馆日程和 Stereoboard 都列出；只看到列表信息，还没看到单场票务页</t>
        </is>
      </c>
      <c r="K94" s="5" t="inlineStr">
        <is>
          <t>https://www.cooplive.com/ ; https://www.stereoboard.com/venues/manchester/co-op-live</t>
        </is>
      </c>
      <c r="L94" s="5" t="inlineStr">
        <is>
          <t>独立乐迷的大场；推之前确认一下票务页</t>
        </is>
      </c>
      <c r="M94" s="5" t="inlineStr">
        <is>
          <t>Live Music Crew</t>
        </is>
      </c>
      <c r="N94" s="5" t="inlineStr">
        <is>
          <t>未取图：云端环境出站被拦（WebFetch EGRESS_BLOCKED），需在本地 Claude Code 补</t>
        </is>
      </c>
      <c r="O94" s="5" t="inlineStr">
        <is>
          <t>未完成</t>
        </is>
      </c>
    </row>
    <row r="95" ht="58" customHeight="1">
      <c r="A95" s="2" t="n"/>
      <c r="B95" s="3" t="n"/>
      <c r="C95" s="4" t="n"/>
      <c r="D95" s="2" t="inlineStr">
        <is>
          <t>Blossoms 演唱会（嘉宾 The Royston Club）</t>
        </is>
      </c>
      <c r="E95" s="2" t="inlineStr">
        <is>
          <t>Co-op Live, Etihad Campus, Manchester</t>
        </is>
      </c>
      <c r="F95" s="2" t="inlineStr">
        <is>
          <t>venue_only</t>
        </is>
      </c>
      <c r="G95" s="5" t="inlineStr">
        <is>
          <t>28 Nov 2026（周六）</t>
        </is>
      </c>
      <c r="H95" s="5" t="inlineStr">
        <is>
          <t>年轻人娱乐(Live Music/英伦独立)</t>
        </is>
      </c>
      <c r="I95" s="6" t="inlineStr">
        <is>
          <t>中热度</t>
        </is>
      </c>
      <c r="J95" s="5" t="inlineStr">
        <is>
          <t>Co-op Live 场馆日程列出；Blossoms 是大曼彻斯特本地乐队，主场演出</t>
        </is>
      </c>
      <c r="K95" s="5" t="inlineStr">
        <is>
          <t>https://www.cooplive.com/ ; https://www.jambase.com/venue/co-op-live-arena</t>
        </is>
      </c>
      <c r="L95" s="5" t="inlineStr">
        <is>
          <t>本地乐队的主场大秀，周六晚上</t>
        </is>
      </c>
      <c r="M95" s="5" t="inlineStr">
        <is>
          <t>Live Music Crew</t>
        </is>
      </c>
      <c r="N95" s="5" t="inlineStr">
        <is>
          <t>未取图：云端环境出站被拦（WebFetch EGRESS_BLOCKED），需在本地 Claude Code 补</t>
        </is>
      </c>
      <c r="O95" s="5" t="inlineStr">
        <is>
          <t>未完成</t>
        </is>
      </c>
    </row>
    <row r="96" ht="58" customHeight="1">
      <c r="A96" s="2" t="inlineStr">
        <is>
          <t>University of Lancaster</t>
        </is>
      </c>
      <c r="B96" s="3" t="inlineStr">
        <is>
          <t>待制作：University of Lancaster.png</t>
        </is>
      </c>
      <c r="C96" s="4" t="inlineStr">
        <is>
          <t>🔍 Event Radar (UK) — what's worth doing this month.
This month: LANCASTER &amp; THE LAKES 👇
🏔️ Kendal Mountain Festival, Kendal — 200+ talks, 150+ adventure films &amp; parties, 19–22 Nov.
💡 Light Up Lancaster, Lancaster — a free light-art trail across the city, 5–7 Nov.</t>
        </is>
      </c>
      <c r="D96" s="2" t="inlineStr">
        <is>
          <t>Kendal Mountain Festival 2026（户外电影 + 讲座 + 文学）</t>
        </is>
      </c>
      <c r="E96" s="2" t="inlineStr">
        <is>
          <t>Kendal, Cumbria（多个场地，节目单见 kendalmountainfestival.com）</t>
        </is>
      </c>
      <c r="F96" s="2" t="inlineStr">
        <is>
          <t>city_only</t>
        </is>
      </c>
      <c r="G96" s="5" t="inlineStr">
        <is>
          <t>19–22 Nov 2026（周四到周日）</t>
        </is>
      </c>
      <c r="H96" s="5" t="inlineStr">
        <is>
          <t>运动户外 + 电影/媒体</t>
        </is>
      </c>
      <c r="I96" s="8" t="inlineStr">
        <is>
          <t>高热度</t>
        </is>
      </c>
      <c r="J96" s="5" t="inlineStr">
        <is>
          <t>英国最大的户外山地节：200 多场活动、300 多位讲者、150 多部电影、10 多场派对（主办方数据）；年年举办</t>
        </is>
      </c>
      <c r="K96" s="5" t="inlineStr">
        <is>
          <t>https://www.kendalmountainfestival.com/ ; https://kendalbid.co.uk/event/kendal-mountain-festival-2026/</t>
        </is>
      </c>
      <c r="L96" s="5" t="inlineStr">
        <is>
          <t>户外迷必去；离 Lancaster 约 35 公里，火车可达；也有线上片单</t>
        </is>
      </c>
      <c r="M96" s="5" t="inlineStr">
        <is>
          <t>Day Trip Buddies；Reel Talk Club；Outdoor Adventure Club</t>
        </is>
      </c>
      <c r="N96" s="5" t="inlineStr">
        <is>
          <t>未取图：云端环境出站被拦（WebFetch EGRESS_BLOCKED），需在本地 Claude Code 补</t>
        </is>
      </c>
      <c r="O96" s="5" t="inlineStr">
        <is>
          <t>未完成</t>
        </is>
      </c>
    </row>
    <row r="97" ht="71.5" customHeight="1">
      <c r="A97" s="2" t="n"/>
      <c r="B97" s="3" t="n"/>
      <c r="C97" s="4" t="n"/>
      <c r="D97" s="2" t="inlineStr">
        <is>
          <t>Light Up Lancaster 2026（主题：No Boundaries）</t>
        </is>
      </c>
      <c r="E97" s="2" t="inlineStr">
        <is>
          <t>Lancaster city centre：Market Square、Dalton Square、The Storey Gardens、Lancaster Castle、Quay Meadow 等（完整地图见 lightuplancaster.co.uk）</t>
        </is>
      </c>
      <c r="F97" s="2" t="inlineStr">
        <is>
          <t>venue_only</t>
        </is>
      </c>
      <c r="G97" s="5" t="inlineStr">
        <is>
          <t>5–7 Nov 2026（周四到周六）17:00–22:00</t>
        </is>
      </c>
      <c r="H97" s="5" t="inlineStr">
        <is>
          <t>本地生活类(灯光艺术节)</t>
        </is>
      </c>
      <c r="I97" s="6" t="inlineStr">
        <is>
          <t>中热度</t>
        </is>
      </c>
      <c r="J97" s="5" t="inlineStr">
        <is>
          <t>Light Up the North 联盟成员，年年举办；Lancaster BID、Visit Lancashire、Lancaster Guardian、Beyond Radio 都有报道</t>
        </is>
      </c>
      <c r="K97" s="5" t="inlineStr">
        <is>
          <t>https://www.lightuplancaster.co.uk/ ; https://www.beyond.radio/news/local-news/light-up-lancaster-promises-to-illuminate-city-with-no-boundaries/ ; https://www.facebook.com/lightuplancaster/</t>
        </is>
      </c>
      <c r="L97" s="5" t="inlineStr">
        <is>
          <t>免费的灯光艺术路线，连着三晚，下课后去逛正合适</t>
        </is>
      </c>
      <c r="M97" s="5" t="inlineStr">
        <is>
          <t>—</t>
        </is>
      </c>
      <c r="N97" s="5" t="inlineStr">
        <is>
          <t>未取图：云端环境出站被拦（WebFetch EGRESS_BLOCKED），需在本地 Claude Code 补</t>
        </is>
      </c>
      <c r="O97" s="5" t="inlineStr">
        <is>
          <t>未完成</t>
        </is>
      </c>
    </row>
    <row r="98" ht="58" customHeight="1">
      <c r="A98" s="2" t="inlineStr">
        <is>
          <t>University of Lancashire</t>
        </is>
      </c>
      <c r="B98" s="3" t="inlineStr">
        <is>
          <t>待制作：University of Lancashire.png</t>
        </is>
      </c>
      <c r="C98" s="4" t="inlineStr">
        <is>
          <t>🔍 Event Radar (UK) — what's worth doing this month.
This month: PRESTON 👇
✨ Preston Christmas Lights Switch-On, Flag Market — free party with East 17 headlining, 21 Nov.
🦢 Swan feeds at WWT Martin Mere, Burscough, Lancashire — up to 2,000 whooper swans (times TBC), daily from Nov.</t>
        </is>
      </c>
      <c r="D98" s="2" t="inlineStr">
        <is>
          <t>Preston 圣诞亮灯（East 17 压轴）</t>
        </is>
      </c>
      <c r="E98" s="2" t="inlineStr">
        <is>
          <t>Flag Market, Preston city centre</t>
        </is>
      </c>
      <c r="F98" s="2" t="inlineStr">
        <is>
          <t>venue_only</t>
        </is>
      </c>
      <c r="G98" s="5" t="inlineStr">
        <is>
          <t>21 Nov 2026（周六）17:00 起</t>
        </is>
      </c>
      <c r="H98" s="5" t="inlineStr">
        <is>
          <t>本地生活类(节庆/音乐)</t>
        </is>
      </c>
      <c r="I98" s="6" t="inlineStr">
        <is>
          <t>中热度</t>
        </is>
      </c>
      <c r="J98" s="5" t="inlineStr">
        <is>
          <t>Preston BID 和 Smooth Radio 主办，LEP 报道、Visit Preston 列出；另一个页面写 22 Nov（是 2025 年的日期）</t>
        </is>
      </c>
      <c r="K98" s="5" t="inlineStr">
        <is>
          <t>https://www.lep.co.uk/news/east-17-to-headline-prestons-chirstmas-lights-switch-on-9276860 ; https://www.visitpreston.com/article/8354/Christmas-Lights-Switch-On-2026</t>
        </is>
      </c>
      <c r="L98" s="5" t="inlineStr">
        <is>
          <t>免费；University of Lancashire 主校区就在市中心</t>
        </is>
      </c>
      <c r="M98" s="5" t="inlineStr">
        <is>
          <t>—</t>
        </is>
      </c>
      <c r="N98" s="5" t="inlineStr">
        <is>
          <t>未取图：云端环境出站被拦（WebFetch EGRESS_BLOCKED），需在本地 Claude Code 补</t>
        </is>
      </c>
      <c r="O98" s="5" t="inlineStr">
        <is>
          <t>未完成</t>
        </is>
      </c>
    </row>
    <row r="99" ht="58" customHeight="1">
      <c r="A99" s="2" t="n"/>
      <c r="B99" s="3" t="n"/>
      <c r="C99" s="4" t="n"/>
      <c r="D99" s="2" t="inlineStr">
        <is>
          <t>WWT Martin Mere 冬季天鹅喂食秀</t>
        </is>
      </c>
      <c r="E99" s="2" t="inlineStr">
        <is>
          <t>WWT Martin Mere Wetland Centre, Fish Lane, Burscough, Lancashire L40 0TA</t>
        </is>
      </c>
      <c r="F99" s="2" t="inlineStr">
        <is>
          <t>exact</t>
        </is>
      </c>
      <c r="G99" s="5" t="inlineStr">
        <is>
          <t>⚠️11 月起每天（往年 15:00、15:30 两场，2026 年时间表还没公布）</t>
        </is>
      </c>
      <c r="H99" s="5" t="inlineStr">
        <is>
          <t>兴趣类(观鸟)</t>
        </is>
      </c>
      <c r="I99" s="7" t="inlineStr">
        <is>
          <t>潜在价值</t>
        </is>
      </c>
      <c r="J99" s="5" t="inlineStr">
        <is>
          <t>WWT 官网往年介绍：最多约 2,000 只大天鹅来吃食；2026 年时间表没找到</t>
        </is>
      </c>
      <c r="K99" s="5" t="inlineStr">
        <is>
          <t>https://www.wwt.org.uk/wetland-centres/martin-mere/news/have-a-wild-winter-at-martin-mere-wetland-centre</t>
        </is>
      </c>
      <c r="L99" s="5" t="inlineStr">
        <is>
          <t>离 Preston 约 25 公里；去之前查一下当天喂食时间</t>
        </is>
      </c>
      <c r="M99" s="5" t="inlineStr">
        <is>
          <t>Birdwatch Brigade</t>
        </is>
      </c>
      <c r="N99" s="5" t="inlineStr">
        <is>
          <t>未取图：云端环境出站被拦（WebFetch EGRESS_BLOCKED），需在本地 Claude Code 补</t>
        </is>
      </c>
      <c r="O99" s="5" t="inlineStr">
        <is>
          <t>未完成</t>
        </is>
      </c>
    </row>
    <row r="100" ht="60" customHeight="1">
      <c r="A100" s="2" t="inlineStr">
        <is>
          <t>University of Chester</t>
        </is>
      </c>
      <c r="B100" s="3" t="inlineStr">
        <is>
          <t>待制作：University of Chester.png</t>
        </is>
      </c>
      <c r="C100" s="4" t="inlineStr">
        <is>
          <t>🔍 Event Radar (UK) — what's worth doing this month.
This month: CHESTER 👇
🎄 Chester Christmas Market, Town Hall Square — 80 stalls inside the old city walls, from 18 Nov.</t>
        </is>
      </c>
      <c r="D100" s="2" t="inlineStr">
        <is>
          <t>Chester Christmas Market</t>
        </is>
      </c>
      <c r="E100" s="2" t="inlineStr">
        <is>
          <t>Town Hall Square, Northgate Street, Chester CH1 2HJ</t>
        </is>
      </c>
      <c r="F100" s="2" t="inlineStr">
        <is>
          <t>exact</t>
        </is>
      </c>
      <c r="G100" s="5" t="inlineStr">
        <is>
          <t>18 Nov – 22 Dec 2026（周日到周三 10:30–18:30，周四到周六到 20:00）</t>
        </is>
      </c>
      <c r="H100" s="5" t="inlineStr">
        <is>
          <t>本地生活类(集市)</t>
        </is>
      </c>
      <c r="I100" s="6" t="inlineStr">
        <is>
          <t>中热度</t>
        </is>
      </c>
      <c r="J100" s="5" t="inlineStr">
        <is>
          <t>官网和 Visit Cheshire、Visit Chester 日期一致；约 80 个摊位</t>
        </is>
      </c>
      <c r="K100" s="5" t="inlineStr">
        <is>
          <t>https://chester-christmasmarket.com/ ; https://visitcheshire.com/events/chester-christmas-market</t>
        </is>
      </c>
      <c r="L100" s="5" t="inlineStr">
        <is>
          <t>免费；古城墙加圣诞市集，切斯特这个月最好的选择</t>
        </is>
      </c>
      <c r="M100" s="5" t="inlineStr">
        <is>
          <t>—</t>
        </is>
      </c>
      <c r="N100" s="5" t="inlineStr">
        <is>
          <t>未取图：云端环境出站被拦（WebFetch EGRESS_BLOCKED），需在本地 Claude Code 补</t>
        </is>
      </c>
      <c r="O100" s="5" t="inlineStr">
        <is>
          <t>未完成</t>
        </is>
      </c>
    </row>
    <row r="101" ht="71.5" customHeight="1">
      <c r="A101" s="2" t="inlineStr">
        <is>
          <t>Leeds Uni Student Hub / Leeds University group 2 / Leeds University group 3 / Leeds University group 4 / Leeds University group 5 / Leeds University group 6 / Leeds University group 7</t>
        </is>
      </c>
      <c r="B101" s="3" t="inlineStr">
        <is>
          <t>待制作：Leeds Uni Student Hub.png</t>
        </is>
      </c>
      <c r="C101" s="4" t="inlineStr">
        <is>
          <t>🔍 Event Radar (UK) — what's worth doing this month.
This month: LEEDS 👇
🎬 Leeds International Film Festival, Leeds — the 40th edition at Hyde Park Picture House &amp; more, to 15 Nov.
🏃 Leeds Abbey Dash 10K, Leeds city centre — a flat, fast 10K out to Kirkstall Abbey, 29 Nov.
🕺 Jungle, first direct bank arena, Leeds — an arena-sized dance party, 21 Nov.
🎸 Embrace 30th Anniversary Tour, O2 Academy Leeds — Britpop classics live, 13 Nov.
💡 Northern Lights Leeds, Temple Newsam — a festive light trail, from 20 Nov.
🎄 Leeds Christmas Market &amp; Ice Cube, City Square &amp; Millennium Square — festive stalls plus a skating rink, from 19 Nov.</t>
        </is>
      </c>
      <c r="D101" s="2" t="inlineStr">
        <is>
          <t>Leeds International Film Festival（第 40 届）</t>
        </is>
      </c>
      <c r="E101" s="2" t="inlineStr">
        <is>
          <t>Hyde Park Picture House, 73 Brudenell Road, Leeds LS6 1JD / Everyman Leeds 等多个影院</t>
        </is>
      </c>
      <c r="F101" s="2" t="inlineStr">
        <is>
          <t>venue_only</t>
        </is>
      </c>
      <c r="G101" s="5" t="inlineStr">
        <is>
          <t>29 Oct – 15 Nov 2026（窗口内为 1–15 Nov）</t>
        </is>
      </c>
      <c r="H101" s="5" t="inlineStr">
        <is>
          <t>电影/媒体</t>
        </is>
      </c>
      <c r="I101" s="8" t="inlineStr">
        <is>
          <t>高热度</t>
        </is>
      </c>
      <c r="J101" s="5" t="inlineStr">
        <is>
          <t>第 40 届，英国历史最悠久的电影节之一；10/1 节目上线、10/8 单片开票（YEP 报道）</t>
        </is>
      </c>
      <c r="K101" s="5" t="inlineStr">
        <is>
          <t>https://www.leedsfilm.com/liff-2026-6ftb ; https://www.yorkshireeveningpost.co.uk/whats-on/arts-and-entertainment/leeds-international-film-festival-2026-opening-films-liff-40th-9021020</t>
        </is>
      </c>
      <c r="L101" s="5" t="inlineStr">
        <is>
          <t>Hyde Park Picture House 就在 Leeds 大学学生区旁边；几乎整个窗口期都有放映</t>
        </is>
      </c>
      <c r="M101" s="5" t="inlineStr">
        <is>
          <t>Reel Talk Club</t>
        </is>
      </c>
      <c r="N101" s="5" t="inlineStr">
        <is>
          <t>未取图：云端环境出站被拦（WebFetch EGRESS_BLOCKED），需在本地 Claude Code 补</t>
        </is>
      </c>
      <c r="O101" s="5" t="inlineStr">
        <is>
          <t>未完成</t>
        </is>
      </c>
    </row>
    <row r="102" ht="58" customHeight="1">
      <c r="A102" s="2" t="n"/>
      <c r="B102" s="3" t="n"/>
      <c r="C102" s="4" t="n"/>
      <c r="D102" s="2" t="inlineStr">
        <is>
          <t>Leeds Abbey Dash 10K</t>
        </is>
      </c>
      <c r="E102" s="2" t="inlineStr">
        <is>
          <t>起终点 Wellington Street, Leeds LS1 4DL（路线往返 Kirkstall Abbey）</t>
        </is>
      </c>
      <c r="F102" s="2" t="inlineStr">
        <is>
          <t>exact</t>
        </is>
      </c>
      <c r="G102" s="5" t="inlineStr">
        <is>
          <t>29 Nov 2026（周日）9:30 起跑</t>
        </is>
      </c>
      <c r="H102" s="5" t="inlineStr">
        <is>
          <t>运动户外(跑步)</t>
        </is>
      </c>
      <c r="I102" s="8" t="inlineStr">
        <is>
          <t>高热度</t>
        </is>
      </c>
      <c r="J102" s="5" t="inlineStr">
        <is>
          <t>利兹老牌 10K，办了近 40 年；今年是英格兰田径 10K 锦标赛指定赛事；Run For All 主办</t>
        </is>
      </c>
      <c r="K102" s="5" t="inlineStr">
        <is>
          <t>https://www.runforall.com/events/10k/abbey-dash/ ; https://www.runforall.com/community/news/leeds-abbey-dash-2026-opens-for-entries-as-england-athletics-championship-returns/</t>
        </is>
      </c>
      <c r="L102" s="5" t="inlineStr">
        <is>
          <t>报名费约 £29–41（看渠道）；路线平坦，适合第一次跑 10K</t>
        </is>
      </c>
      <c r="M102" s="5" t="inlineStr">
        <is>
          <t>Fitness Check-ins</t>
        </is>
      </c>
      <c r="N102" s="5" t="inlineStr">
        <is>
          <t>未取图：云端环境出站被拦（WebFetch EGRESS_BLOCKED），需在本地 Claude Code 补</t>
        </is>
      </c>
      <c r="O102" s="5" t="inlineStr">
        <is>
          <t>未完成</t>
        </is>
      </c>
    </row>
    <row r="103" ht="58" customHeight="1">
      <c r="A103" s="2" t="n"/>
      <c r="B103" s="3" t="n"/>
      <c r="C103" s="4" t="n"/>
      <c r="D103" s="2" t="inlineStr">
        <is>
          <t>Jungle 演唱会</t>
        </is>
      </c>
      <c r="E103" s="2" t="inlineStr">
        <is>
          <t>first direct bank arena, Arena Way, Leeds LS2 8BY</t>
        </is>
      </c>
      <c r="F103" s="2" t="inlineStr">
        <is>
          <t>exact</t>
        </is>
      </c>
      <c r="G103" s="5" t="inlineStr">
        <is>
          <t>21 Nov 2026（周六）18:30/19:00</t>
        </is>
      </c>
      <c r="H103" s="5" t="inlineStr">
        <is>
          <t>年轻人娱乐(Live Music/电子灵魂)</t>
        </is>
      </c>
      <c r="I103" s="8" t="inlineStr">
        <is>
          <t>高热度</t>
        </is>
      </c>
      <c r="J103" s="5" t="inlineStr">
        <is>
          <t>See Tickets、AXS、Ticketmaster 正规售票；二手票溢价到 £140 以上，说明需求旺</t>
        </is>
      </c>
      <c r="K103" s="5" t="inlineStr">
        <is>
          <t>https://www.seetickets.com/event/jungle/first-direct-bank-arena/3618943 ; https://www.axs.com/uk/events/1383202/jungle-tickets</t>
        </is>
      </c>
      <c r="L103" s="5" t="inlineStr">
        <is>
          <t>票面 £40 起，别买二手高价票；体育场离 Leeds 大学走路 10 分钟</t>
        </is>
      </c>
      <c r="M103" s="5" t="inlineStr">
        <is>
          <t>Live Music Crew</t>
        </is>
      </c>
      <c r="N103" s="5" t="inlineStr">
        <is>
          <t>未取图：云端环境出站被拦（WebFetch EGRESS_BLOCKED），需在本地 Claude Code 补</t>
        </is>
      </c>
      <c r="O103" s="5" t="inlineStr">
        <is>
          <t>未完成</t>
        </is>
      </c>
    </row>
    <row r="104" ht="58" customHeight="1">
      <c r="A104" s="2" t="n"/>
      <c r="B104" s="3" t="n"/>
      <c r="C104" s="4" t="n"/>
      <c r="D104" s="2" t="inlineStr">
        <is>
          <t>Embrace 30 周年巡演（嘉宾：The Rolling People / The Bunny Suit）</t>
        </is>
      </c>
      <c r="E104" s="2" t="inlineStr">
        <is>
          <t>O2 Academy Leeds, 55 Cookridge Street, Leeds LS2 3AW</t>
        </is>
      </c>
      <c r="F104" s="2" t="inlineStr">
        <is>
          <t>exact</t>
        </is>
      </c>
      <c r="G104" s="5" t="inlineStr">
        <is>
          <t>13 Nov 2026（周五）19:00</t>
        </is>
      </c>
      <c r="H104" s="5" t="inlineStr">
        <is>
          <t>年轻人娱乐(Live Music/英伦摇滚)</t>
        </is>
      </c>
      <c r="I104" s="6" t="inlineStr">
        <is>
          <t>中热度</t>
        </is>
      </c>
      <c r="J104" s="5" t="inlineStr">
        <is>
          <t>Live Nation / Academy Music Group 正式售票；乐队 30 周年新专辑巡演</t>
        </is>
      </c>
      <c r="K104" s="5" t="inlineStr">
        <is>
          <t>https://www.academymusicgroup.com/o2academyleeds/events/embrace-tickets-ae136632 ; https://www.gigsandtours.com/event/embrace/o2-academy-leeds/3605026</t>
        </is>
      </c>
      <c r="L104" s="5" t="inlineStr">
        <is>
          <t>票价约 £37.70；场馆离 Leeds 大学、Leeds Beckett 都近</t>
        </is>
      </c>
      <c r="M104" s="5" t="inlineStr">
        <is>
          <t>—</t>
        </is>
      </c>
      <c r="N104" s="5" t="inlineStr">
        <is>
          <t>未取图：云端环境出站被拦（WebFetch EGRESS_BLOCKED），需在本地 Claude Code 补</t>
        </is>
      </c>
      <c r="O104" s="5" t="inlineStr">
        <is>
          <t>未完成</t>
        </is>
      </c>
    </row>
    <row r="105" ht="58" customHeight="1">
      <c r="A105" s="2" t="n"/>
      <c r="B105" s="3" t="n"/>
      <c r="C105" s="4" t="n"/>
      <c r="D105" s="2" t="inlineStr">
        <is>
          <t>Northern Lights Leeds 灯光步道</t>
        </is>
      </c>
      <c r="E105" s="2" t="inlineStr">
        <is>
          <t>Temple Newsam, Temple Newsam Road, Leeds LS15 0AE</t>
        </is>
      </c>
      <c r="F105" s="2" t="inlineStr">
        <is>
          <t>exact</t>
        </is>
      </c>
      <c r="G105" s="5" t="inlineStr">
        <is>
          <t>20 Nov – 31 Dec 2026，16:15 起入场</t>
        </is>
      </c>
      <c r="H105" s="5" t="inlineStr">
        <is>
          <t>本地生活类(灯光步道)</t>
        </is>
      </c>
      <c r="I105" s="6" t="inlineStr">
        <is>
          <t>中热度</t>
        </is>
      </c>
      <c r="J105" s="5" t="inlineStr">
        <is>
          <t>See Tickets 正规售票，2026 年有官方日期；主办方写明日期可能调整</t>
        </is>
      </c>
      <c r="K105" s="5" t="inlineStr">
        <is>
          <t>https://northernlightsleeds.seetickets.com/ ; https://www.yorkshireeveningpost.co.uk/whats-on/northern-lights-leeds-temple-newsam-lost-light-of-christmas-preview-map-8985967</t>
        </is>
      </c>
      <c r="L105" s="5" t="inlineStr">
        <is>
          <t>分时段入场；Temple Newsam 在城东，要坐公交</t>
        </is>
      </c>
      <c r="M105" s="5" t="inlineStr">
        <is>
          <t>—</t>
        </is>
      </c>
      <c r="N105" s="5" t="inlineStr">
        <is>
          <t>未取图：云端环境出站被拦（WebFetch EGRESS_BLOCKED），需在本地 Claude Code 补</t>
        </is>
      </c>
      <c r="O105" s="5" t="inlineStr">
        <is>
          <t>未完成</t>
        </is>
      </c>
    </row>
    <row r="106" ht="58" customHeight="1">
      <c r="A106" s="2" t="n"/>
      <c r="B106" s="3" t="n"/>
      <c r="C106" s="4" t="n"/>
      <c r="D106" s="2" t="inlineStr">
        <is>
          <t>Leeds Christmas Market + Ice Cube 溜冰场</t>
        </is>
      </c>
      <c r="E106" s="2" t="inlineStr">
        <is>
          <t>City Square（市集）/ Millennium Square（Ice Cube）, Leeds city centre</t>
        </is>
      </c>
      <c r="F106" s="2" t="inlineStr">
        <is>
          <t>venue_only</t>
        </is>
      </c>
      <c r="G106" s="5" t="inlineStr">
        <is>
          <t>19 Nov – 23 Dec 2026（Ice Cube 开始日期有 19 Nov 和 22 Nov 两种说法）</t>
        </is>
      </c>
      <c r="H106" s="5" t="inlineStr">
        <is>
          <t>本地生活类(集市/滑冰)</t>
        </is>
      </c>
      <c r="I106" s="6" t="inlineStr">
        <is>
          <t>中热度</t>
        </is>
      </c>
      <c r="J106" s="5" t="inlineStr">
        <is>
          <t>LNER、Visit Chester 等多个来源列出 2026 年日期；部分细节主办方还在定</t>
        </is>
      </c>
      <c r="K106" s="5" t="inlineStr">
        <is>
          <t>https://www.lner.co.uk/destinations/travel-inspiration/christmas-markets-and-festive-events/trains-to-leeds-christmas-market/ ; https://www.leedschristmas.co.uk/</t>
        </is>
      </c>
      <c r="L106" s="5" t="inlineStr">
        <is>
          <t>免费逛市集；溜冰场在 Millennium Square，离 Leeds 大学很近</t>
        </is>
      </c>
      <c r="M106" s="5" t="inlineStr">
        <is>
          <t>—</t>
        </is>
      </c>
      <c r="N106" s="5" t="inlineStr">
        <is>
          <t>未取图：云端环境出站被拦（WebFetch EGRESS_BLOCKED），需在本地 Claude Code 补</t>
        </is>
      </c>
      <c r="O106" s="5" t="inlineStr">
        <is>
          <t>未完成</t>
        </is>
      </c>
    </row>
    <row r="107" ht="58" customHeight="1">
      <c r="A107" s="2" t="inlineStr">
        <is>
          <t>Sheffield Hallam University / University of Sheffield</t>
        </is>
      </c>
      <c r="B107" s="3" t="inlineStr">
        <is>
          <t>待制作：Sheffield Hallam University.png</t>
        </is>
      </c>
      <c r="C107" s="4" t="inlineStr">
        <is>
          <t>🔍 Event Radar (UK) — what's worth doing this month.
This month: SHEFFIELD 👇
🎆 ArcNight, Don Valley Bowl, Sheffield — Sheffield's big Bonfire Night show, 5 Nov.
🎄 Sheffield Christmas Market, Fargate &amp; The Moor — festive cabins in the city centre, from 12 Nov.</t>
        </is>
      </c>
      <c r="D107" s="2" t="inlineStr">
        <is>
          <t>ArcNight 2026：谢菲尔德篝火夜烟花</t>
        </is>
      </c>
      <c r="E107" s="2" t="inlineStr">
        <is>
          <t>Don Valley Bowl, Coleridge Road, Sheffield S9 2DF</t>
        </is>
      </c>
      <c r="F107" s="2" t="inlineStr">
        <is>
          <t>exact</t>
        </is>
      </c>
      <c r="G107" s="5" t="inlineStr">
        <is>
          <t>5 Nov 2026（周四）16:00–21:00</t>
        </is>
      </c>
      <c r="H107" s="5" t="inlineStr">
        <is>
          <t>年轻人娱乐(烟花)</t>
        </is>
      </c>
      <c r="I107" s="6" t="inlineStr">
        <is>
          <t>中热度</t>
        </is>
      </c>
      <c r="J107" s="5" t="inlineStr">
        <is>
          <t>新办的活动，由 Illuminate the Gardens 团队主办；Exposed Magazine、Yorkshire Live 报道；票价还没公布</t>
        </is>
      </c>
      <c r="K107" s="5" t="inlineStr">
        <is>
          <t>https://arcnight.com/ ; https://www.exposedmagazine.co.uk/whats-new/brand-new-bonfire-night-spectacular-to-bring-sheffield-steel-to-the-sky-at-don-valley/</t>
        </is>
      </c>
      <c r="L107" s="5" t="inlineStr">
        <is>
          <t>谢菲尔德唯一的大型烟花，篝火夜正日子；有电车可以到</t>
        </is>
      </c>
      <c r="M107" s="5" t="inlineStr">
        <is>
          <t>—</t>
        </is>
      </c>
      <c r="N107" s="5" t="inlineStr">
        <is>
          <t>未取图：云端环境出站被拦（WebFetch EGRESS_BLOCKED），需在本地 Claude Code 补</t>
        </is>
      </c>
      <c r="O107" s="5" t="inlineStr">
        <is>
          <t>未完成</t>
        </is>
      </c>
    </row>
    <row r="108" ht="58" customHeight="1">
      <c r="A108" s="2" t="n"/>
      <c r="B108" s="3" t="n"/>
      <c r="C108" s="4" t="n"/>
      <c r="D108" s="2" t="inlineStr">
        <is>
          <t>Sheffield Christmas Market</t>
        </is>
      </c>
      <c r="E108" s="2" t="inlineStr">
        <is>
          <t>Fargate / Pinstone Street / The Moor, Sheffield city centre</t>
        </is>
      </c>
      <c r="F108" s="2" t="inlineStr">
        <is>
          <t>venue_only</t>
        </is>
      </c>
      <c r="G108" s="5" t="inlineStr">
        <is>
          <t>12 Nov – 26 Dec 2026</t>
        </is>
      </c>
      <c r="H108" s="5" t="inlineStr">
        <is>
          <t>本地生活类(集市)</t>
        </is>
      </c>
      <c r="I108" s="6" t="inlineStr">
        <is>
          <t>中热度</t>
        </is>
      </c>
      <c r="J108" s="5" t="inlineStr">
        <is>
          <t>Welcome to Sheffield 官方列出 2026 年日期；市政亮灯仪式 2023 年起停办，今年还没确认</t>
        </is>
      </c>
      <c r="K108" s="5" t="inlineStr">
        <is>
          <t>https://www.welcometosheffield.co.uk/content/events/sheffield-christmas-market-2026</t>
        </is>
      </c>
      <c r="L108" s="5" t="inlineStr">
        <is>
          <t>免费逛；Hallam 城市校区就在旁边</t>
        </is>
      </c>
      <c r="M108" s="5" t="inlineStr">
        <is>
          <t>—</t>
        </is>
      </c>
      <c r="N108" s="5" t="inlineStr">
        <is>
          <t>未取图：云端环境出站被拦（WebFetch EGRESS_BLOCKED），需在本地 Claude Code 补</t>
        </is>
      </c>
      <c r="O108" s="5" t="inlineStr">
        <is>
          <t>未完成</t>
        </is>
      </c>
    </row>
    <row r="109" ht="58" customHeight="1">
      <c r="A109" s="2" t="inlineStr">
        <is>
          <t>Huddersfield Uni Student Hub</t>
        </is>
      </c>
      <c r="B109" s="3" t="inlineStr">
        <is>
          <t>待制作：Huddersfield Uni Student Hub.png</t>
        </is>
      </c>
      <c r="C109" s="4" t="inlineStr">
        <is>
          <t>🔍 Event Radar (UK) — what's worth doing this month.
This month: HUDDERSFIELD 👇
🎼 hcmf// Contemporary Music Festival, Huddersfield — 70+ premieres of new &amp; experimental music, 20–29 Nov.
🔥 Round Table Charity Bonfire, Huddersfield — bonfire &amp; fireworks, £5 entry, 7 Nov.
🎆 Mirfield Bonfire &amp; Firework Extravaganza, Mirfield — bonfire, music stage and funfair, 7 Nov.</t>
        </is>
      </c>
      <c r="D109" s="2" t="inlineStr">
        <is>
          <t>hcmf// 哈德斯菲尔德当代音乐节（第 49 届）</t>
        </is>
      </c>
      <c r="E109" s="2" t="inlineStr">
        <is>
          <t>Huddersfield 多个场地（官网节目单分场馆列出）</t>
        </is>
      </c>
      <c r="F109" s="2" t="inlineStr">
        <is>
          <t>city_only</t>
        </is>
      </c>
      <c r="G109" s="5" t="inlineStr">
        <is>
          <t>20–29 Nov 2026</t>
        </is>
      </c>
      <c r="H109" s="5" t="inlineStr">
        <is>
          <t>年轻人娱乐(Live Music/实验音乐)</t>
        </is>
      </c>
      <c r="I109" s="8" t="inlineStr">
        <is>
          <t>高热度</t>
        </is>
      </c>
      <c r="J109" s="5" t="inlineStr">
        <is>
          <t>英国最重要的当代和实验音乐节，第 49 届，70 多场首演；官网已开票</t>
        </is>
      </c>
      <c r="K109" s="5" t="inlineStr">
        <is>
          <t>https://hcmf.co.uk/hcmf-2026-now-on-sale/ ; https://hcmf.co.uk/2026-programme/</t>
        </is>
      </c>
      <c r="L109" s="5" t="inlineStr">
        <is>
          <t>音乐专业学生必去；有讲座、装置和工作坊，部分场次免费</t>
        </is>
      </c>
      <c r="M109" s="5" t="inlineStr">
        <is>
          <t>—</t>
        </is>
      </c>
      <c r="N109" s="5" t="inlineStr">
        <is>
          <t>未取图：云端环境出站被拦（WebFetch EGRESS_BLOCKED），需在本地 Claude Code 补</t>
        </is>
      </c>
      <c r="O109" s="5" t="inlineStr">
        <is>
          <t>未完成</t>
        </is>
      </c>
    </row>
    <row r="110" ht="58" customHeight="1">
      <c r="A110" s="2" t="n"/>
      <c r="B110" s="3" t="n"/>
      <c r="C110" s="4" t="n"/>
      <c r="D110" s="2" t="inlineStr">
        <is>
          <t>Huddersfield &amp; District Round Table 慈善篝火烟花夜</t>
        </is>
      </c>
      <c r="E110" s="2" t="inlineStr">
        <is>
          <t>DRAM Sport &amp; Community Centre, Ridgeway, Dalton, Huddersfield HD5 9QJ</t>
        </is>
      </c>
      <c r="F110" s="2" t="inlineStr">
        <is>
          <t>exact</t>
        </is>
      </c>
      <c r="G110" s="5" t="inlineStr">
        <is>
          <t>7 Nov 2026（周六）17:00 开门</t>
        </is>
      </c>
      <c r="H110" s="5" t="inlineStr">
        <is>
          <t>年轻人娱乐(烟花)</t>
        </is>
      </c>
      <c r="I110" s="7" t="inlineStr">
        <is>
          <t>潜在价值</t>
        </is>
      </c>
      <c r="J110" s="5" t="inlineStr">
        <is>
          <t>Yorkshire Live 列入约克郡篝火夜推荐；本地慈善机构年年办；没有售票数据</t>
        </is>
      </c>
      <c r="K110" s="5" t="inlineStr">
        <is>
          <t>https://www.examinerlive.co.uk/whats-on/family-kids-news/bonfire-night-2026-yorkshires-biggest-34659274</t>
        </is>
      </c>
      <c r="L110" s="5" t="inlineStr">
        <is>
          <t>成人 £5，很便宜，离市中心近</t>
        </is>
      </c>
      <c r="M110" s="5" t="inlineStr">
        <is>
          <t>—</t>
        </is>
      </c>
      <c r="N110" s="5" t="inlineStr">
        <is>
          <t>未取图：云端环境出站被拦（WebFetch EGRESS_BLOCKED），需在本地 Claude Code 补</t>
        </is>
      </c>
      <c r="O110" s="5" t="inlineStr">
        <is>
          <t>未完成</t>
        </is>
      </c>
    </row>
    <row r="111" ht="58" customHeight="1">
      <c r="A111" s="2" t="n"/>
      <c r="B111" s="3" t="n"/>
      <c r="C111" s="4" t="n"/>
      <c r="D111" s="2" t="inlineStr">
        <is>
          <t>Mirfield Bonfire &amp; Firework Extravaganza</t>
        </is>
      </c>
      <c r="E111" s="2" t="inlineStr">
        <is>
          <t>Mirfield Showground, Huddersfield Road, Mirfield WF14 9NE</t>
        </is>
      </c>
      <c r="F111" s="2" t="inlineStr">
        <is>
          <t>exact</t>
        </is>
      </c>
      <c r="G111" s="5" t="inlineStr">
        <is>
          <t>7 Nov 2026（周六）16:00 开门，约 19:30 放烟花</t>
        </is>
      </c>
      <c r="H111" s="5" t="inlineStr">
        <is>
          <t>年轻人娱乐(烟花/音乐)</t>
        </is>
      </c>
      <c r="I111" s="7" t="inlineStr">
        <is>
          <t>潜在价值</t>
        </is>
      </c>
      <c r="J111" s="5" t="inlineStr">
        <is>
          <t>Yorkshire Live 列入约克郡最大篝火夜之一；有音乐舞台和游乐场；没有售票数据</t>
        </is>
      </c>
      <c r="K111" s="5" t="inlineStr">
        <is>
          <t>https://www.examinerlive.co.uk/whats-on/family-kids-news/bonfire-night-2026-yorkshires-biggest-34659274</t>
        </is>
      </c>
      <c r="L111" s="5" t="inlineStr">
        <is>
          <t>离 Huddersfield 约 10 公里，比市内的活动规模大</t>
        </is>
      </c>
      <c r="M111" s="5" t="inlineStr">
        <is>
          <t>—</t>
        </is>
      </c>
      <c r="N111" s="5" t="inlineStr">
        <is>
          <t>未取图：云端环境出站被拦（WebFetch EGRESS_BLOCKED），需在本地 Claude Code 补</t>
        </is>
      </c>
      <c r="O111" s="5" t="inlineStr">
        <is>
          <t>未完成</t>
        </is>
      </c>
    </row>
    <row r="112" ht="58" customHeight="1">
      <c r="A112" s="2" t="inlineStr">
        <is>
          <t>university of york student hub</t>
        </is>
      </c>
      <c r="B112" s="3" t="inlineStr">
        <is>
          <t>待制作：university of york student hub.png</t>
        </is>
      </c>
      <c r="C112" s="4" t="inlineStr">
        <is>
          <t>🔍 Event Radar (UK) — what's worth doing this month.
This month: YORK 👇
🎄 York Christmas Market, Parliament Street, York — one of the UK's best festive markets (closed Tuesdays), from 12 Nov.
🌿 RHS Glow at Harlow Carr, Harrogate — a garden lit up for its 10th year, from 26 Nov.</t>
        </is>
      </c>
      <c r="D112" s="2" t="inlineStr">
        <is>
          <t>York Christmas Market（St Nicholas Fair）</t>
        </is>
      </c>
      <c r="E112" s="2" t="inlineStr">
        <is>
          <t>Parliament Street &amp; St Sampson's Square, York YO1</t>
        </is>
      </c>
      <c r="F112" s="2" t="inlineStr">
        <is>
          <t>venue_only</t>
        </is>
      </c>
      <c r="G112" s="5" t="inlineStr">
        <is>
          <t>12 Nov – 21 Dec 2026，10:30–19:00（周二不开，今年试行）</t>
        </is>
      </c>
      <c r="H112" s="5" t="inlineStr">
        <is>
          <t>本地生活类(集市) + 一日游</t>
        </is>
      </c>
      <c r="I112" s="8" t="inlineStr">
        <is>
          <t>高热度</t>
        </is>
      </c>
      <c r="J112" s="5" t="inlineStr">
        <is>
          <t>Make It York 官方公布 2026 年日期和营业时间；英国最有名的圣诞市集之一</t>
        </is>
      </c>
      <c r="K112" s="5" t="inlineStr">
        <is>
          <t>https://www.makeityork.com/news/2026/08/york-christmas-market-2026-dates-announced/ ; https://visityork.org/christmas/york-christmas-market</t>
        </is>
      </c>
      <c r="L112" s="5" t="inlineStr">
        <is>
          <t>免费；⚠️周二不开；古城加圣诞市集，很适合一日游</t>
        </is>
      </c>
      <c r="M112" s="5" t="inlineStr">
        <is>
          <t>Day Trip Buddies</t>
        </is>
      </c>
      <c r="N112" s="5" t="inlineStr">
        <is>
          <t>未取图：云端环境出站被拦（WebFetch EGRESS_BLOCKED），需在本地 Claude Code 补</t>
        </is>
      </c>
      <c r="O112" s="5" t="inlineStr">
        <is>
          <t>未完成</t>
        </is>
      </c>
    </row>
    <row r="113" ht="58" customHeight="1">
      <c r="A113" s="2" t="n"/>
      <c r="B113" s="3" t="n"/>
      <c r="C113" s="4" t="n"/>
      <c r="D113" s="2" t="inlineStr">
        <is>
          <t>RHS Glow：Harlow Carr 灯光花园（10 周年）</t>
        </is>
      </c>
      <c r="E113" s="2" t="inlineStr">
        <is>
          <t>RHS Garden Harlow Carr, Crag Lane, Harrogate HG3 1QB</t>
        </is>
      </c>
      <c r="F113" s="2" t="inlineStr">
        <is>
          <t>exact</t>
        </is>
      </c>
      <c r="G113" s="5" t="inlineStr">
        <is>
          <t>26 Nov – 30 Dec 2026（指定日期开放）</t>
        </is>
      </c>
      <c r="H113" s="5" t="inlineStr">
        <is>
          <t>兴趣类(园艺) + 灯光步道</t>
        </is>
      </c>
      <c r="I113" s="6" t="inlineStr">
        <is>
          <t>中热度</t>
        </is>
      </c>
      <c r="J113" s="5" t="inlineStr">
        <is>
          <t>RHS 官方页面公布；Harlow Carr 场办到第 10 年，今年新增 off-peak 票</t>
        </is>
      </c>
      <c r="K113" s="5" t="inlineStr">
        <is>
          <t>https://www.rhs.org.uk/gardens/articles/glow-illuminations</t>
        </is>
      </c>
      <c r="L113" s="5" t="inlineStr">
        <is>
          <t>离 York、Leeds 都约 35 公里；分时段预约</t>
        </is>
      </c>
      <c r="M113" s="5" t="inlineStr">
        <is>
          <t>Green Thumb Circle</t>
        </is>
      </c>
      <c r="N113" s="5" t="inlineStr">
        <is>
          <t>未取图：云端环境出站被拦（WebFetch EGRESS_BLOCKED），需在本地 Claude Code 补</t>
        </is>
      </c>
      <c r="O113" s="5" t="inlineStr">
        <is>
          <t>未完成</t>
        </is>
      </c>
    </row>
    <row r="114" ht="60" customHeight="1">
      <c r="A114" s="2" t="inlineStr">
        <is>
          <t>Hull Uni Student Hub</t>
        </is>
      </c>
      <c r="B114" s="3" t="inlineStr">
        <is>
          <t>待制作：Hull Uni Student Hub.png</t>
        </is>
      </c>
      <c r="C114" s="4" t="inlineStr">
        <is>
          <t>🔍 Event Radar (UK) — what's worth doing this month.
This month: HULL 👇
🎸 Squeeze with Billy Bragg, Connexin Live, Hull — two British songwriting legends, 19 Nov.</t>
        </is>
      </c>
      <c r="D114" s="2" t="inlineStr">
        <is>
          <t>Squeeze（嘉宾 Billy Bragg）巡演 赫尔站</t>
        </is>
      </c>
      <c r="E114" s="2" t="inlineStr">
        <is>
          <t>Connexin Live（原 Bonus Arena）, Hull city centre</t>
        </is>
      </c>
      <c r="F114" s="2" t="inlineStr">
        <is>
          <t>venue_only</t>
        </is>
      </c>
      <c r="G114" s="5" t="inlineStr">
        <is>
          <t>19 Nov 2026（周四）</t>
        </is>
      </c>
      <c r="H114" s="5" t="inlineStr">
        <is>
          <t>年轻人娱乐(Live Music)</t>
        </is>
      </c>
      <c r="I114" s="6" t="inlineStr">
        <is>
          <t>中热度</t>
        </is>
      </c>
      <c r="J114" s="5" t="inlineStr">
        <is>
          <t>场馆官网列出；同一巡演 20 Nov 在 Leeds arena，日程对得上；场馆页面信息可能更新不及时</t>
        </is>
      </c>
      <c r="K114" s="5" t="inlineStr">
        <is>
          <t>https://connexinlivehull.com/whats-on/</t>
        </is>
      </c>
      <c r="L114" s="5" t="inlineStr">
        <is>
          <t>Hull 本月少见的大牌演出；推之前确认一下票务页</t>
        </is>
      </c>
      <c r="M114" s="5" t="inlineStr">
        <is>
          <t>—</t>
        </is>
      </c>
      <c r="N114" s="5" t="inlineStr">
        <is>
          <t>未取图：云端环境出站被拦（WebFetch EGRESS_BLOCKED），需在本地 Claude Code 补</t>
        </is>
      </c>
      <c r="O114" s="5" t="inlineStr">
        <is>
          <t>未完成</t>
        </is>
      </c>
    </row>
    <row r="115" ht="58" customHeight="1">
      <c r="A115" s="2" t="inlineStr">
        <is>
          <t>Newcastle university / Newcastle university 2 / Northumbria university</t>
        </is>
      </c>
      <c r="B115" s="3" t="inlineStr">
        <is>
          <t>待制作：Newcastle university.png</t>
        </is>
      </c>
      <c r="C115" s="4" t="inlineStr">
        <is>
          <t>🔍 Event Radar (UK) — what's worth doing this month.
This month: NEWCASTLE 👇
🎄 Newcastle Christmas Market, Grey Street &amp; the Monument — 70+ mostly local traders, from 19 Nov.
🐎 Bonfire Night at the Races, Newcastle Racecourse — floodlit racing + fireworks, from £9, 6 Nov.
🎤 Reverend and The Makers, Northumbria SU — a big indie gig right on campus, 14 Nov.
✨ Newcastle Christmas Lights Switch-On, Grey's Monument — free festive kick-off in town, 12 Nov.
💡 Northern Lights Newcastle, Leazes Park — 14 new light installations next to campus, from 20 Nov.</t>
        </is>
      </c>
      <c r="D115" s="2" t="inlineStr">
        <is>
          <t>Newcastle Christmas Market + Christmas Village</t>
        </is>
      </c>
      <c r="E115" s="2" t="inlineStr">
        <is>
          <t>Grey Street / Grainger Street / Monument / Nelson Street（市集）；Old Eldon Square（Christmas Village）, Newcastle</t>
        </is>
      </c>
      <c r="F115" s="2" t="inlineStr">
        <is>
          <t>venue_only</t>
        </is>
      </c>
      <c r="G115" s="5" t="inlineStr">
        <is>
          <t>19 Nov – 23 Dec 2026</t>
        </is>
      </c>
      <c r="H115" s="5" t="inlineStr">
        <is>
          <t>本地生活类(集市)</t>
        </is>
      </c>
      <c r="I115" s="8" t="inlineStr">
        <is>
          <t>高热度</t>
        </is>
      </c>
      <c r="J115" s="5" t="inlineStr">
        <is>
          <t>Newcastle 市议会公布；70 多个摊位，86% 是本地商家</t>
        </is>
      </c>
      <c r="K115" s="5" t="inlineStr">
        <is>
          <t>https://new.newcastle.gov.uk/news/2026/newcastles-christmas-set-biggest-year-yet-after-festive-market-success</t>
        </is>
      </c>
      <c r="L115" s="5" t="inlineStr">
        <is>
          <t>免费；Northumbria 和 Newcastle 大学都在市中心旁边</t>
        </is>
      </c>
      <c r="M115" s="5" t="inlineStr">
        <is>
          <t>Durham university</t>
        </is>
      </c>
      <c r="N115" s="5" t="inlineStr">
        <is>
          <t>未取图：云端环境出站被拦（WebFetch EGRESS_BLOCKED），需在本地 Claude Code 补</t>
        </is>
      </c>
      <c r="O115" s="5" t="inlineStr">
        <is>
          <t>未完成</t>
        </is>
      </c>
    </row>
    <row r="116" ht="58" customHeight="1">
      <c r="A116" s="2" t="n"/>
      <c r="B116" s="3" t="n"/>
      <c r="C116" s="4" t="n"/>
      <c r="D116" s="2" t="inlineStr">
        <is>
          <t>Newcastle Racecourse Bonfire Night（夜场赛马 + 烟花）</t>
        </is>
      </c>
      <c r="E116" s="2" t="inlineStr">
        <is>
          <t>Newcastle Racecourse, High Gosforth Park, Newcastle upon Tyne NE3 5HP</t>
        </is>
      </c>
      <c r="F116" s="2" t="inlineStr">
        <is>
          <t>exact</t>
        </is>
      </c>
      <c r="G116" s="5" t="inlineStr">
        <is>
          <t>6 Nov 2026（周五）18:00 开门，约 20:30 放烟花</t>
        </is>
      </c>
      <c r="H116" s="5" t="inlineStr">
        <is>
          <t>年轻人娱乐(烟花/赛马)</t>
        </is>
      </c>
      <c r="I116" s="6" t="inlineStr">
        <is>
          <t>中热度</t>
        </is>
      </c>
      <c r="J116" s="5" t="inlineStr">
        <is>
          <t>赛马场官方年年举办，号称"本地区最大的烟花"（主办方说法）；已开售</t>
        </is>
      </c>
      <c r="K116" s="5" t="inlineStr">
        <is>
          <t>https://www.newcastle-racecourse.co.uk/popular-events/fireworks</t>
        </is>
      </c>
      <c r="L116" s="5" t="inlineStr">
        <is>
          <t>早鸟票成人 £9，很便宜；赛马 + 游乐场 + 烟花，一晚玩全套</t>
        </is>
      </c>
      <c r="M116" s="5" t="inlineStr">
        <is>
          <t>—</t>
        </is>
      </c>
      <c r="N116" s="5" t="inlineStr">
        <is>
          <t>未取图：云端环境出站被拦（WebFetch EGRESS_BLOCKED），需在本地 Claude Code 补</t>
        </is>
      </c>
      <c r="O116" s="5" t="inlineStr">
        <is>
          <t>未完成</t>
        </is>
      </c>
    </row>
    <row r="117" ht="71.5" customHeight="1">
      <c r="A117" s="2" t="n"/>
      <c r="B117" s="3" t="n"/>
      <c r="C117" s="4" t="n"/>
      <c r="D117" s="2" t="inlineStr">
        <is>
          <t>Reverend and The Makers 演唱会</t>
        </is>
      </c>
      <c r="E117" s="2" t="inlineStr">
        <is>
          <t>Northumbria Students' Union, 2 Sandyford Road, Newcastle upon Tyne NE1 8SB</t>
        </is>
      </c>
      <c r="F117" s="2" t="inlineStr">
        <is>
          <t>exact</t>
        </is>
      </c>
      <c r="G117" s="5" t="inlineStr">
        <is>
          <t>14 Nov 2026（周六）19:00 开门</t>
        </is>
      </c>
      <c r="H117" s="5" t="inlineStr">
        <is>
          <t>年轻人娱乐(Live Music/独立摇滚)</t>
        </is>
      </c>
      <c r="I117" s="6" t="inlineStr">
        <is>
          <t>中热度</t>
        </is>
      </c>
      <c r="J117" s="5" t="inlineStr">
        <is>
          <t>SJM Concerts 主办，Ticketmaster / Songkick / Bandsintown 都有正式票务页；成熟乐队巡演</t>
        </is>
      </c>
      <c r="K117" s="5" t="inlineStr">
        <is>
          <t>https://www.songkick.com/concerts/43167629-reverend-and-the-makers-at-northumbria-students-union ; https://www.ents24.com/newcastle-upon-tyne-events/northumbria-university-students-union/reverend-and-the-makers/7473947</t>
        </is>
      </c>
      <c r="L117" s="5" t="inlineStr">
        <is>
          <t>就在 Northumbria 学生会里，在校生走路就到</t>
        </is>
      </c>
      <c r="M117" s="5" t="inlineStr">
        <is>
          <t>Live Music Crew</t>
        </is>
      </c>
      <c r="N117" s="5" t="inlineStr">
        <is>
          <t>未取图：云端环境出站被拦（WebFetch EGRESS_BLOCKED），需在本地 Claude Code 补</t>
        </is>
      </c>
      <c r="O117" s="5" t="inlineStr">
        <is>
          <t>未完成</t>
        </is>
      </c>
    </row>
    <row r="118" ht="71.5" customHeight="1">
      <c r="A118" s="2" t="n"/>
      <c r="B118" s="3" t="n"/>
      <c r="C118" s="4" t="n"/>
      <c r="D118" s="2" t="inlineStr">
        <is>
          <t>Newcastle 圣诞亮灯仪式</t>
        </is>
      </c>
      <c r="E118" s="2" t="inlineStr">
        <is>
          <t>Grey's Monument, Grey Street, Newcastle upon Tyne NE1</t>
        </is>
      </c>
      <c r="F118" s="2" t="inlineStr">
        <is>
          <t>venue_only</t>
        </is>
      </c>
      <c r="G118" s="5" t="inlineStr">
        <is>
          <t>12 Nov 2026（周四）约 18:00–19:00</t>
        </is>
      </c>
      <c r="H118" s="5" t="inlineStr">
        <is>
          <t>本地生活类(节庆)</t>
        </is>
      </c>
      <c r="I118" s="6" t="inlineStr">
        <is>
          <t>中热度</t>
        </is>
      </c>
      <c r="J118" s="5" t="inlineStr">
        <is>
          <t>Newcastle 市议会 2026 年新闻稿公布日期；免费；具体时间参考往年</t>
        </is>
      </c>
      <c r="K118" s="5" t="inlineStr">
        <is>
          <t>https://new.newcastle.gov.uk/news/2026/newcastles-christmas-set-biggest-year-yet-after-festive-market-success ; https://newcastlegateshead.com/events/newcastle-christmas-light-switch-on</t>
        </is>
      </c>
      <c r="L118" s="5" t="inlineStr">
        <is>
          <t>免费，市中心，下课后顺路</t>
        </is>
      </c>
      <c r="M118" s="5" t="inlineStr">
        <is>
          <t>—</t>
        </is>
      </c>
      <c r="N118" s="5" t="inlineStr">
        <is>
          <t>未取图：云端环境出站被拦（WebFetch EGRESS_BLOCKED），需在本地 Claude Code 补</t>
        </is>
      </c>
      <c r="O118" s="5" t="inlineStr">
        <is>
          <t>未完成</t>
        </is>
      </c>
    </row>
    <row r="119" ht="58" customHeight="1">
      <c r="A119" s="2" t="n"/>
      <c r="B119" s="3" t="n"/>
      <c r="C119" s="4" t="n"/>
      <c r="D119" s="2" t="inlineStr">
        <is>
          <t>Northern Lights Newcastle 灯光步道</t>
        </is>
      </c>
      <c r="E119" s="2" t="inlineStr">
        <is>
          <t>Leazes Park, Newcastle upon Tyne</t>
        </is>
      </c>
      <c r="F119" s="2" t="inlineStr">
        <is>
          <t>venue_only</t>
        </is>
      </c>
      <c r="G119" s="5" t="inlineStr">
        <is>
          <t>20 Nov – 31 Dec 2026（23、24、25、30 Nov 不开），约 16:15–20:30</t>
        </is>
      </c>
      <c r="H119" s="5" t="inlineStr">
        <is>
          <t>本地生活类(灯光步道)</t>
        </is>
      </c>
      <c r="I119" s="6" t="inlineStr">
        <is>
          <t>中热度</t>
        </is>
      </c>
      <c r="J119" s="5" t="inlineStr">
        <is>
          <t>Newcastle 市议会活动页列出；今年 14 个新装置</t>
        </is>
      </c>
      <c r="K119" s="5" t="inlineStr">
        <is>
          <t>https://new.newcastle.gov.uk/events/northern-lights-2026 ; https://northernlightsnewcastle.com/</t>
        </is>
      </c>
      <c r="L119" s="5" t="inlineStr">
        <is>
          <t>Leazes Park 就在 Newcastle 大学旁边</t>
        </is>
      </c>
      <c r="M119" s="5" t="inlineStr">
        <is>
          <t>—</t>
        </is>
      </c>
      <c r="N119" s="5" t="inlineStr">
        <is>
          <t>未取图：云端环境出站被拦（WebFetch EGRESS_BLOCKED），需在本地 Claude Code 补</t>
        </is>
      </c>
      <c r="O119" s="5" t="inlineStr">
        <is>
          <t>未完成</t>
        </is>
      </c>
    </row>
    <row r="120" ht="60" customHeight="1">
      <c r="A120" s="2" t="inlineStr">
        <is>
          <t>Durham university</t>
        </is>
      </c>
      <c r="B120" s="3" t="inlineStr">
        <is>
          <t>待制作：Durham university.png</t>
        </is>
      </c>
      <c r="C120" s="4" t="inlineStr">
        <is>
          <t>🔍 Event Radar (UK) — what's worth doing this month.
This month: DURHAM &amp; NEWCASTLE 👇
🎄 Newcastle Christmas Market, 15 min by train from Durham — 70+ mostly local traders, from 19 Nov.</t>
        </is>
      </c>
      <c r="D120" s="2" t="inlineStr">
        <is>
          <t>Newcastle Christmas Market + Christmas Village</t>
        </is>
      </c>
      <c r="E120" s="2" t="inlineStr">
        <is>
          <t>Grey Street / Grainger Street / Monument / Nelson Street（市集）；Old Eldon Square（Christmas Village）, Newcastle</t>
        </is>
      </c>
      <c r="F120" s="2" t="inlineStr">
        <is>
          <t>venue_only</t>
        </is>
      </c>
      <c r="G120" s="5" t="inlineStr">
        <is>
          <t>19 Nov – 23 Dec 2026</t>
        </is>
      </c>
      <c r="H120" s="5" t="inlineStr">
        <is>
          <t>本地生活类(集市)</t>
        </is>
      </c>
      <c r="I120" s="8" t="inlineStr">
        <is>
          <t>高热度</t>
        </is>
      </c>
      <c r="J120" s="5" t="inlineStr">
        <is>
          <t>Newcastle 市议会公布；70 多个摊位，86% 是本地商家</t>
        </is>
      </c>
      <c r="K120" s="5" t="inlineStr">
        <is>
          <t>https://new.newcastle.gov.uk/news/2026/newcastles-christmas-set-biggest-year-yet-after-festive-market-success</t>
        </is>
      </c>
      <c r="L120" s="5" t="inlineStr">
        <is>
          <t>免费；Northumbria 和 Newcastle 大学都在市中心旁边</t>
        </is>
      </c>
      <c r="M120" s="5" t="inlineStr">
        <is>
          <t>Newcastle university / Newcastle university 2 / Northumbria university</t>
        </is>
      </c>
      <c r="N120" s="5" t="inlineStr">
        <is>
          <t>未取图：云端环境出站被拦（WebFetch EGRESS_BLOCKED），需在本地 Claude Code 补</t>
        </is>
      </c>
      <c r="O120" s="5" t="inlineStr">
        <is>
          <t>未完成</t>
        </is>
      </c>
    </row>
    <row r="121" ht="58" customHeight="1">
      <c r="A121" s="2" t="inlineStr">
        <is>
          <t>University of Cardiff / Cardiff Metropolitan University</t>
        </is>
      </c>
      <c r="B121" s="3" t="inlineStr">
        <is>
          <t>待制作：University of Cardiff.png</t>
        </is>
      </c>
      <c r="C121" s="4" t="inlineStr">
        <is>
          <t>🔍 Event Radar (UK) — what's worth doing this month.
This month: CARDIFF 👇
⛸️ Cardiff's Winter Wonderland, Cardiff Castle — ice skating in a castle, from 12 Nov.
🏉 Wales v Japan, Principality Stadium — Nations Championship rugby, 7 Nov.
🏉 Wales v New Zealand, Principality Stadium — the big one against the All Blacks, 14 Nov.
🏉 Wales v Australia, Principality Stadium — a Saturday-night Test in Cardiff, 21 Nov.
🎸 Bloc Party &amp; Interpol, Utilita Arena Cardiff — a 2000s indie double-header, 21 Nov.
💡 Christmas at Bute Park, Cardiff — a reimagined light trail next to the castle, from 19 Nov.</t>
        </is>
      </c>
      <c r="D121" s="2" t="inlineStr">
        <is>
          <t>Cardiff's Winter Wonderland 2026（冰场 / 摩天轮 / 冰壶）</t>
        </is>
      </c>
      <c r="E121" s="2" t="inlineStr">
        <is>
          <t>Cardiff Castle, Castle Street, Cardiff CF10 3RB &amp; City Hall Lawn</t>
        </is>
      </c>
      <c r="F121" s="2" t="inlineStr">
        <is>
          <t>exact</t>
        </is>
      </c>
      <c r="G121" s="5" t="inlineStr">
        <is>
          <t>12 Nov 2026 – 3 Jan 2027（窗口内为 12–30 Nov）</t>
        </is>
      </c>
      <c r="H121" s="5" t="inlineStr">
        <is>
          <t>年轻人娱乐(滑冰/游乐)</t>
        </is>
      </c>
      <c r="I121" s="8" t="inlineStr">
        <is>
          <t>高热度</t>
        </is>
      </c>
      <c r="J121" s="5" t="inlineStr">
        <is>
          <t>Visit Cardiff 官方收录，年年举办；Nation.Cymru、Wales247 报道了 2026 年日期</t>
        </is>
      </c>
      <c r="K121" s="5" t="inlineStr">
        <is>
          <t>https://www.visitcardiff.com/christmas/cardiffs-winter-wonderland/ ; https://www.wales247.co.uk/cardiff-confirms-christmas-lights-date-and-festive-attractions-for-2026</t>
        </is>
      </c>
      <c r="L121" s="5" t="inlineStr">
        <is>
          <t>城堡里的露天冰场很出片；今年新增冰壶体验</t>
        </is>
      </c>
      <c r="M121" s="5" t="inlineStr">
        <is>
          <t>—</t>
        </is>
      </c>
      <c r="N121" s="5" t="inlineStr">
        <is>
          <t>未取图：云端环境出站被拦（WebFetch EGRESS_BLOCKED），需在本地 Claude Code 补</t>
        </is>
      </c>
      <c r="O121" s="5" t="inlineStr">
        <is>
          <t>未完成</t>
        </is>
      </c>
    </row>
    <row r="122" ht="71.5" customHeight="1">
      <c r="A122" s="2" t="n"/>
      <c r="B122" s="3" t="n"/>
      <c r="C122" s="4" t="n"/>
      <c r="D122" s="2" t="inlineStr">
        <is>
          <t>威尔士 vs 日本（Nations Championship 橄榄球）</t>
        </is>
      </c>
      <c r="E122" s="2" t="inlineStr">
        <is>
          <t>Principality Stadium, Westgate Street, Cardiff CF10 1NS</t>
        </is>
      </c>
      <c r="F122" s="2" t="inlineStr">
        <is>
          <t>exact</t>
        </is>
      </c>
      <c r="G122" s="5" t="inlineStr">
        <is>
          <t>7 Nov 2026（周六）16:40 开球</t>
        </is>
      </c>
      <c r="H122" s="5" t="inlineStr">
        <is>
          <t>运动户外(观赛)</t>
        </is>
      </c>
      <c r="I122" s="8" t="inlineStr">
        <is>
          <t>高热度</t>
        </is>
      </c>
      <c r="J122" s="5" t="inlineStr">
        <is>
          <t>WRU 官方公布；球场官网有单场售票页</t>
        </is>
      </c>
      <c r="K122" s="5" t="inlineStr">
        <is>
          <t>https://www.wru.wales/2026/03/dates-confirmed-for-wales-home-nations-championship-fixtures ; https://www.principalitystadium.wales/event/nations-championship-2026-wales-v-japan/</t>
        </is>
      </c>
      <c r="L122" s="5" t="inlineStr">
        <is>
          <t>市中心球场，比赛日全城都是气氛；对日本这场的票通常比对新西兰便宜</t>
        </is>
      </c>
      <c r="M122" s="5" t="inlineStr">
        <is>
          <t>—</t>
        </is>
      </c>
      <c r="N122" s="5" t="inlineStr">
        <is>
          <t>未取图：云端环境出站被拦（WebFetch EGRESS_BLOCKED），需在本地 Claude Code 补</t>
        </is>
      </c>
      <c r="O122" s="5" t="inlineStr">
        <is>
          <t>未完成</t>
        </is>
      </c>
    </row>
    <row r="123" ht="58" customHeight="1">
      <c r="A123" s="2" t="n"/>
      <c r="B123" s="3" t="n"/>
      <c r="C123" s="4" t="n"/>
      <c r="D123" s="2" t="inlineStr">
        <is>
          <t>威尔士 vs 新西兰（Nations Championship 橄榄球）</t>
        </is>
      </c>
      <c r="E123" s="2" t="inlineStr">
        <is>
          <t>Principality Stadium, Westgate Street, Cardiff CF10 1NS</t>
        </is>
      </c>
      <c r="F123" s="2" t="inlineStr">
        <is>
          <t>exact</t>
        </is>
      </c>
      <c r="G123" s="5" t="inlineStr">
        <is>
          <t>14 Nov 2026（周六）</t>
        </is>
      </c>
      <c r="H123" s="5" t="inlineStr">
        <is>
          <t>运动户外(观赛)</t>
        </is>
      </c>
      <c r="I123" s="8" t="inlineStr">
        <is>
          <t>高热度</t>
        </is>
      </c>
      <c r="J123" s="5" t="inlineStr">
        <is>
          <t>WRU 官方公布；对全黑队是秋季重头戏</t>
        </is>
      </c>
      <c r="K123" s="5" t="inlineStr">
        <is>
          <t>https://www.principalitystadium.wales/event/nations-championship-2026-wales-v-new-zealand/</t>
        </is>
      </c>
      <c r="L123" s="5" t="inlineStr">
        <is>
          <t>⚠️对全黑队的票最贵；买不到票也可以去市中心酒吧看直播</t>
        </is>
      </c>
      <c r="M123" s="5" t="inlineStr">
        <is>
          <t>—</t>
        </is>
      </c>
      <c r="N123" s="5" t="inlineStr">
        <is>
          <t>未取图：云端环境出站被拦（WebFetch EGRESS_BLOCKED），需在本地 Claude Code 补</t>
        </is>
      </c>
      <c r="O123" s="5" t="inlineStr">
        <is>
          <t>未完成</t>
        </is>
      </c>
    </row>
    <row r="124" ht="71.5" customHeight="1">
      <c r="A124" s="2" t="n"/>
      <c r="B124" s="3" t="n"/>
      <c r="C124" s="4" t="n"/>
      <c r="D124" s="2" t="inlineStr">
        <is>
          <t>威尔士 vs 澳大利亚（Nations Championship 橄榄球）</t>
        </is>
      </c>
      <c r="E124" s="2" t="inlineStr">
        <is>
          <t>Principality Stadium, Westgate Street, Cardiff CF10 1NS</t>
        </is>
      </c>
      <c r="F124" s="2" t="inlineStr">
        <is>
          <t>exact</t>
        </is>
      </c>
      <c r="G124" s="5" t="inlineStr">
        <is>
          <t>21 Nov 2026（周六）20:10 开球</t>
        </is>
      </c>
      <c r="H124" s="5" t="inlineStr">
        <is>
          <t>运动户外(观赛)</t>
        </is>
      </c>
      <c r="I124" s="8" t="inlineStr">
        <is>
          <t>高热度</t>
        </is>
      </c>
      <c r="J124" s="5" t="inlineStr">
        <is>
          <t>Visit Wales、World Rugby 都列出；威尔士 11 月三场主场赛的最后一场</t>
        </is>
      </c>
      <c r="K124" s="5" t="inlineStr">
        <is>
          <t>https://www.visitwales.com/event/sporting-event/nations-championship-2026-wales-v-australia-620271 ; https://www.principalitystadium.wales/event/nations-championship-2026-wales-v-australia/</t>
        </is>
      </c>
      <c r="L124" s="5" t="inlineStr">
        <is>
          <t>晚场比赛，市中心气氛最好；同一天还有 Bloc Party &amp; Interpol 演唱会，可二选一</t>
        </is>
      </c>
      <c r="M124" s="5" t="inlineStr">
        <is>
          <t>—</t>
        </is>
      </c>
      <c r="N124" s="5" t="inlineStr">
        <is>
          <t>未取图：云端环境出站被拦（WebFetch EGRESS_BLOCKED），需在本地 Claude Code 补</t>
        </is>
      </c>
      <c r="O124" s="5" t="inlineStr">
        <is>
          <t>未完成</t>
        </is>
      </c>
    </row>
    <row r="125" ht="71.5" customHeight="1">
      <c r="A125" s="2" t="n"/>
      <c r="B125" s="3" t="n"/>
      <c r="C125" s="4" t="n"/>
      <c r="D125" s="2" t="inlineStr">
        <is>
          <t>Bloc Party &amp; Interpol 联合巡演 卡迪夫站</t>
        </is>
      </c>
      <c r="E125" s="2" t="inlineStr">
        <is>
          <t>Utilita Arena Cardiff, Mary Ann Street, Cardiff CF10 2EQ</t>
        </is>
      </c>
      <c r="F125" s="2" t="inlineStr">
        <is>
          <t>exact</t>
        </is>
      </c>
      <c r="G125" s="5" t="inlineStr">
        <is>
          <t>21 Nov 2026（周六）</t>
        </is>
      </c>
      <c r="H125" s="5" t="inlineStr">
        <is>
          <t>年轻人娱乐(Live Music/独立摇滚)</t>
        </is>
      </c>
      <c r="I125" s="6" t="inlineStr">
        <is>
          <t>中热度</t>
        </is>
      </c>
      <c r="J125" s="5" t="inlineStr">
        <is>
          <t>巡演日程（Songkick 报道）里伯明翰站之后的下一站；具体开场时间看票务页</t>
        </is>
      </c>
      <c r="K125" s="5" t="inlineStr">
        <is>
          <t>https://www.songkick.com/concerts/42867381-bloc-party-at-utilita-arena-birmingham ; https://www.thelineofbestfit.com/news/bloc-party-and-interpol-announce-2026-uk-eu-co-headline-tour</t>
        </is>
      </c>
      <c r="L125" s="5" t="inlineStr">
        <is>
          <t>和威尔士 vs 澳大利亚同一天，二选一</t>
        </is>
      </c>
      <c r="M125" s="5" t="inlineStr">
        <is>
          <t>—</t>
        </is>
      </c>
      <c r="N125" s="5" t="inlineStr">
        <is>
          <t>未取图：云端环境出站被拦（WebFetch EGRESS_BLOCKED），需在本地 Claude Code 补</t>
        </is>
      </c>
      <c r="O125" s="5" t="inlineStr">
        <is>
          <t>未完成</t>
        </is>
      </c>
    </row>
    <row r="126" ht="58" customHeight="1">
      <c r="A126" s="2" t="n"/>
      <c r="B126" s="3" t="n"/>
      <c r="C126" s="4" t="n"/>
      <c r="D126" s="2" t="inlineStr">
        <is>
          <t>Christmas at Bute Park 灯光步道</t>
        </is>
      </c>
      <c r="E126" s="2" t="inlineStr">
        <is>
          <t>Bute Park（Cardiff Castle 旁）, Cardiff</t>
        </is>
      </c>
      <c r="F126" s="2" t="inlineStr">
        <is>
          <t>venue_only</t>
        </is>
      </c>
      <c r="G126" s="5" t="inlineStr">
        <is>
          <t>19 Nov – 31 Dec 2026，16:15 起入场</t>
        </is>
      </c>
      <c r="H126" s="5" t="inlineStr">
        <is>
          <t>本地生活类(灯光步道)</t>
        </is>
      </c>
      <c r="I126" s="6" t="inlineStr">
        <is>
          <t>中热度</t>
        </is>
      </c>
      <c r="J126" s="5" t="inlineStr">
        <is>
          <t>Visit Cardiff 官方收录；今年路线重新设计；See Tickets 正规售票</t>
        </is>
      </c>
      <c r="K126" s="5" t="inlineStr">
        <is>
          <t>https://www.visitcardiff.com/events/christmas-lights-bute-park/ ; https://christmasatbute.seetickets.com/timeslot/christmas-at-bute-park/</t>
        </is>
      </c>
      <c r="L126" s="5" t="inlineStr">
        <is>
          <t>peak 票 £17.25 起、off-peak £13.75 起；离 Cardiff 大学主校区很近</t>
        </is>
      </c>
      <c r="M126" s="5" t="inlineStr">
        <is>
          <t>—</t>
        </is>
      </c>
      <c r="N126" s="5" t="inlineStr">
        <is>
          <t>未取图：云端环境出站被拦（WebFetch EGRESS_BLOCKED），需在本地 Claude Code 补</t>
        </is>
      </c>
      <c r="O126" s="5" t="inlineStr">
        <is>
          <t>未完成</t>
        </is>
      </c>
    </row>
  </sheetData>
  <autoFilter ref="A1:O126"/>
  <mergeCells count="96">
    <mergeCell ref="C30:C31"/>
    <mergeCell ref="B82:B86"/>
    <mergeCell ref="C32:C34"/>
    <mergeCell ref="B109:B111"/>
    <mergeCell ref="B76:B80"/>
    <mergeCell ref="C22:C29"/>
    <mergeCell ref="B112:B113"/>
    <mergeCell ref="A82:A86"/>
    <mergeCell ref="A121:A126"/>
    <mergeCell ref="A10:A15"/>
    <mergeCell ref="A55:A59"/>
    <mergeCell ref="A35:A38"/>
    <mergeCell ref="C115:C119"/>
    <mergeCell ref="C55:C59"/>
    <mergeCell ref="C98:C99"/>
    <mergeCell ref="C5:C8"/>
    <mergeCell ref="B48:B54"/>
    <mergeCell ref="A70:A71"/>
    <mergeCell ref="B17:B18"/>
    <mergeCell ref="A32:A34"/>
    <mergeCell ref="C112:C113"/>
    <mergeCell ref="C35:C38"/>
    <mergeCell ref="A87:A88"/>
    <mergeCell ref="A74:A75"/>
    <mergeCell ref="B121:B126"/>
    <mergeCell ref="A89:A90"/>
    <mergeCell ref="B44:B45"/>
    <mergeCell ref="B115:B119"/>
    <mergeCell ref="A17:A18"/>
    <mergeCell ref="B91:B95"/>
    <mergeCell ref="C17:C18"/>
    <mergeCell ref="A60:A62"/>
    <mergeCell ref="A68:A69"/>
    <mergeCell ref="C63:C67"/>
    <mergeCell ref="B30:B31"/>
    <mergeCell ref="C87:C88"/>
    <mergeCell ref="C74:C75"/>
    <mergeCell ref="A39:A40"/>
    <mergeCell ref="C68:C69"/>
    <mergeCell ref="A107:A108"/>
    <mergeCell ref="C107:C108"/>
    <mergeCell ref="C101:C106"/>
    <mergeCell ref="A2:A4"/>
    <mergeCell ref="C2:C4"/>
    <mergeCell ref="A109:A111"/>
    <mergeCell ref="A76:A80"/>
    <mergeCell ref="B22:B29"/>
    <mergeCell ref="C44:C45"/>
    <mergeCell ref="B63:B67"/>
    <mergeCell ref="C82:C86"/>
    <mergeCell ref="B98:B99"/>
    <mergeCell ref="B107:B108"/>
    <mergeCell ref="B68:B69"/>
    <mergeCell ref="C70:C71"/>
    <mergeCell ref="B10:B15"/>
    <mergeCell ref="B2:B4"/>
    <mergeCell ref="C39:C40"/>
    <mergeCell ref="A112:A113"/>
    <mergeCell ref="B5:B8"/>
    <mergeCell ref="A48:A54"/>
    <mergeCell ref="B19:B21"/>
    <mergeCell ref="A98:A99"/>
    <mergeCell ref="B72:B73"/>
    <mergeCell ref="C60:C62"/>
    <mergeCell ref="B35:B38"/>
    <mergeCell ref="C76:C80"/>
    <mergeCell ref="B96:B97"/>
    <mergeCell ref="B70:B71"/>
    <mergeCell ref="C89:C90"/>
    <mergeCell ref="C91:C95"/>
    <mergeCell ref="B55:B59"/>
    <mergeCell ref="A63:A67"/>
    <mergeCell ref="A115:A119"/>
    <mergeCell ref="B39:B40"/>
    <mergeCell ref="A91:A95"/>
    <mergeCell ref="C48:C54"/>
    <mergeCell ref="A19:A21"/>
    <mergeCell ref="C121:C126"/>
    <mergeCell ref="C10:C15"/>
    <mergeCell ref="C19:C21"/>
    <mergeCell ref="B101:B106"/>
    <mergeCell ref="B32:B34"/>
    <mergeCell ref="B87:B88"/>
    <mergeCell ref="A101:A106"/>
    <mergeCell ref="B74:B75"/>
    <mergeCell ref="A72:A73"/>
    <mergeCell ref="C72:C73"/>
    <mergeCell ref="A96:A97"/>
    <mergeCell ref="A5:A8"/>
    <mergeCell ref="B89:B90"/>
    <mergeCell ref="C96:C97"/>
    <mergeCell ref="A44:A45"/>
    <mergeCell ref="C109:C111"/>
    <mergeCell ref="B60:B62"/>
    <mergeCell ref="A22:A29"/>
    <mergeCell ref="A30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9" t="inlineStr">
        <is>
          <t>指标</t>
        </is>
      </c>
      <c r="B1" s="9" t="inlineStr">
        <is>
          <t>数值</t>
        </is>
      </c>
    </row>
    <row r="2">
      <c r="A2" s="10" t="inlineStr">
        <is>
          <t>发布块数（社群/合并社群）</t>
        </is>
      </c>
      <c r="B2" s="10">
        <f>COUNTA('Track B 30天活动'!A2:A1000)</f>
        <v/>
      </c>
    </row>
    <row r="3">
      <c r="A3" s="10" t="inlineStr">
        <is>
          <t>活动行数</t>
        </is>
      </c>
      <c r="B3" s="10">
        <f>COUNTA('Track B 30天活动'!D2:D1000)</f>
        <v/>
      </c>
    </row>
    <row r="4">
      <c r="A4" s="10" t="inlineStr">
        <is>
          <t>高热度</t>
        </is>
      </c>
      <c r="B4" s="10">
        <f>COUNTIF('Track B 30天活动'!I2:I1000,"高热度")</f>
        <v/>
      </c>
    </row>
    <row r="5">
      <c r="A5" s="10" t="inlineStr">
        <is>
          <t>中热度</t>
        </is>
      </c>
      <c r="B5" s="10">
        <f>COUNTIF('Track B 30天活动'!I2:I1000,"中热度")</f>
        <v/>
      </c>
    </row>
    <row r="6">
      <c r="A6" s="10" t="inlineStr">
        <is>
          <t>潜在价值</t>
        </is>
      </c>
      <c r="B6" s="10">
        <f>COUNTIF('Track B 30天活动'!I2:I1000,"潜在价值")</f>
        <v/>
      </c>
    </row>
    <row r="7">
      <c r="A7" s="10" t="inlineStr">
        <is>
          <t>日期待核实（日期含⚠️）</t>
        </is>
      </c>
      <c r="B7" s="10">
        <f>COUNTIF('Track B 30天活动'!G2:G1000,"*⚠️*")</f>
        <v/>
      </c>
    </row>
    <row r="8">
      <c r="A8" s="10" t="inlineStr">
        <is>
          <t>社群：有活动</t>
        </is>
      </c>
      <c r="B8" s="10">
        <f>COUNTIF('社群覆盖清单'!C2:C200,"已搜/有结果*")</f>
        <v/>
      </c>
    </row>
    <row r="9">
      <c r="A9" s="10" t="inlineStr">
        <is>
          <t>社群：已搜无结果</t>
        </is>
      </c>
      <c r="B9" s="10">
        <f>COUNTIF('社群覆盖清单'!C2:C200,"已搜/无结果*")</f>
        <v/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3" max="3"/>
    <col width="80" customWidth="1" min="5" max="5"/>
  </cols>
  <sheetData>
    <row r="1">
      <c r="A1" s="9" t="inlineStr">
        <is>
          <t>社群</t>
        </is>
      </c>
      <c r="B1" s="9" t="inlineStr">
        <is>
          <t>类型</t>
        </is>
      </c>
      <c r="C1" s="9" t="inlineStr">
        <is>
          <t>本轮状态</t>
        </is>
      </c>
      <c r="D1" s="9" t="inlineStr">
        <is>
          <t>条数</t>
        </is>
      </c>
      <c r="E1" s="9" t="inlineStr">
        <is>
          <t>说明</t>
        </is>
      </c>
    </row>
    <row r="2">
      <c r="A2" s="10" t="inlineStr">
        <is>
          <t>Birdwatch Brigade</t>
        </is>
      </c>
      <c r="B2" s="10" t="inlineStr">
        <is>
          <t>兴趣类</t>
        </is>
      </c>
      <c r="C2" s="10" t="inlineStr">
        <is>
          <t>已搜/有结果</t>
        </is>
      </c>
      <c r="D2" s="10" t="n">
        <v>3</v>
      </c>
      <c r="E2" s="10" t="inlineStr"/>
    </row>
    <row r="3">
      <c r="A3" s="10" t="inlineStr">
        <is>
          <t>The Gaming Corner</t>
        </is>
      </c>
      <c r="B3" s="10" t="inlineStr">
        <is>
          <t>兴趣类</t>
        </is>
      </c>
      <c r="C3" s="10" t="inlineStr">
        <is>
          <t>已搜/有结果</t>
        </is>
      </c>
      <c r="D3" s="10" t="n">
        <v>4</v>
      </c>
      <c r="E3" s="10" t="inlineStr"/>
    </row>
    <row r="4">
      <c r="A4" s="10" t="inlineStr">
        <is>
          <t>Coffee Shop Hopping</t>
        </is>
      </c>
      <c r="B4" s="10" t="inlineStr">
        <is>
          <t>兴趣类</t>
        </is>
      </c>
      <c r="C4" s="10" t="inlineStr">
        <is>
          <t>已搜/无结果</t>
        </is>
      </c>
      <c r="D4" s="10" t="n">
        <v>0</v>
      </c>
      <c r="E4" s="10" t="inlineStr">
        <is>
          <t>没有可靠的带日期信源（skill 里记录的老问题）；本月没找到咖啡节或开业活动</t>
        </is>
      </c>
    </row>
    <row r="5">
      <c r="A5" s="10" t="inlineStr">
        <is>
          <t>CS2 Frag Hub</t>
        </is>
      </c>
      <c r="B5" s="10" t="inlineStr">
        <is>
          <t>兴趣类</t>
        </is>
      </c>
      <c r="C5" s="10" t="inlineStr">
        <is>
          <t>已搜/有结果</t>
        </is>
      </c>
      <c r="D5" s="10" t="n">
        <v>1</v>
      </c>
      <c r="E5" s="10" t="inlineStr">
        <is>
          <t>窗口内只有 EPIC49 最后一天（1 Nov 决赛）；没找到别的线下 CS2 活动</t>
        </is>
      </c>
    </row>
    <row r="6">
      <c r="A6" s="10" t="inlineStr">
        <is>
          <t>Day Trip Buddies</t>
        </is>
      </c>
      <c r="B6" s="10" t="inlineStr">
        <is>
          <t>兴趣类</t>
        </is>
      </c>
      <c r="C6" s="10" t="inlineStr">
        <is>
          <t>已搜/有结果</t>
        </is>
      </c>
      <c r="D6" s="10" t="n">
        <v>6</v>
      </c>
      <c r="E6" s="10" t="inlineStr"/>
    </row>
    <row r="7">
      <c r="A7" s="10" t="inlineStr">
        <is>
          <t>Study Break Crew</t>
        </is>
      </c>
      <c r="B7" s="10" t="inlineStr">
        <is>
          <t>兴趣类</t>
        </is>
      </c>
      <c r="C7" s="10" t="inlineStr">
        <is>
          <t>已搜/无结果</t>
        </is>
      </c>
      <c r="D7" s="10" t="n">
        <v>0</v>
      </c>
      <c r="E7" s="10" t="inlineStr">
        <is>
          <t>只找到学生会页面，日期星期和 2026 年对不上（MMU 学生会页是 2024 年的），没有可推的校园社交活动</t>
        </is>
      </c>
    </row>
    <row r="8">
      <c r="A8" s="10" t="inlineStr">
        <is>
          <t>Fitness Check-ins</t>
        </is>
      </c>
      <c r="B8" s="10" t="inlineStr">
        <is>
          <t>兴趣类</t>
        </is>
      </c>
      <c r="C8" s="10" t="inlineStr">
        <is>
          <t>已搜/有结果</t>
        </is>
      </c>
      <c r="D8" s="10" t="n">
        <v>1</v>
      </c>
      <c r="E8" s="10" t="inlineStr">
        <is>
          <t>只收了 Leeds Abbey Dash</t>
        </is>
      </c>
    </row>
    <row r="9">
      <c r="A9" s="10" t="inlineStr">
        <is>
          <t>Girls' Corner</t>
        </is>
      </c>
      <c r="B9" s="10" t="inlineStr">
        <is>
          <t>兴趣类</t>
        </is>
      </c>
      <c r="C9" s="10" t="inlineStr">
        <is>
          <t>已搜/有结果</t>
        </is>
      </c>
      <c r="D9" s="10" t="n">
        <v>2</v>
      </c>
      <c r="E9" s="10" t="inlineStr">
        <is>
          <t>未达 3–5 条</t>
        </is>
      </c>
    </row>
    <row r="10">
      <c r="A10" s="10" t="inlineStr">
        <is>
          <t>Green Thumb Circle</t>
        </is>
      </c>
      <c r="B10" s="10" t="inlineStr">
        <is>
          <t>兴趣类</t>
        </is>
      </c>
      <c r="C10" s="10" t="inlineStr">
        <is>
          <t>已搜/有结果</t>
        </is>
      </c>
      <c r="D10" s="10" t="n">
        <v>3</v>
      </c>
      <c r="E10" s="10" t="inlineStr"/>
    </row>
    <row r="11">
      <c r="A11" s="10" t="inlineStr">
        <is>
          <t>Live Music Crew</t>
        </is>
      </c>
      <c r="B11" s="10" t="inlineStr">
        <is>
          <t>兴趣类</t>
        </is>
      </c>
      <c r="C11" s="10" t="inlineStr">
        <is>
          <t>已搜/有结果</t>
        </is>
      </c>
      <c r="D11" s="10" t="n">
        <v>8</v>
      </c>
      <c r="E11" s="10" t="inlineStr"/>
    </row>
    <row r="12">
      <c r="A12" s="10" t="inlineStr">
        <is>
          <t>Page Turners Club</t>
        </is>
      </c>
      <c r="B12" s="10" t="inlineStr">
        <is>
          <t>兴趣类</t>
        </is>
      </c>
      <c r="C12" s="10" t="inlineStr">
        <is>
          <t>已搜/有结果</t>
        </is>
      </c>
      <c r="D12" s="10" t="n">
        <v>2</v>
      </c>
      <c r="E12" s="10" t="inlineStr">
        <is>
          <t>未达 3–5 条</t>
        </is>
      </c>
    </row>
    <row r="13">
      <c r="A13" s="10" t="inlineStr">
        <is>
          <t>Paws UK</t>
        </is>
      </c>
      <c r="B13" s="10" t="inlineStr">
        <is>
          <t>兴趣类</t>
        </is>
      </c>
      <c r="C13" s="10" t="inlineStr">
        <is>
          <t>已搜/无结果</t>
        </is>
      </c>
      <c r="D13" s="10" t="n">
        <v>0</v>
      </c>
      <c r="E13" s="10" t="inlineStr">
        <is>
          <t>11 月没有公开的宠物展（Discover Dogs 在 3 月），只找到几条往年的狗狗友好市集信息，日期不可信</t>
        </is>
      </c>
    </row>
    <row r="14">
      <c r="A14" s="10" t="inlineStr">
        <is>
          <t>Premier Fan Zone</t>
        </is>
      </c>
      <c r="B14" s="10" t="inlineStr">
        <is>
          <t>兴趣类</t>
        </is>
      </c>
      <c r="C14" s="10" t="inlineStr">
        <is>
          <t>已搜/有结果</t>
        </is>
      </c>
      <c r="D14" s="10" t="n">
        <v>3</v>
      </c>
      <c r="E14" s="10" t="inlineStr"/>
    </row>
    <row r="15">
      <c r="A15" s="10" t="inlineStr">
        <is>
          <t>Reel Talk Club</t>
        </is>
      </c>
      <c r="B15" s="10" t="inlineStr">
        <is>
          <t>兴趣类</t>
        </is>
      </c>
      <c r="C15" s="10" t="inlineStr">
        <is>
          <t>已搜/有结果</t>
        </is>
      </c>
      <c r="D15" s="10" t="n">
        <v>4</v>
      </c>
      <c r="E15" s="10" t="inlineStr"/>
    </row>
    <row r="16">
      <c r="A16" s="10" t="inlineStr">
        <is>
          <t>Snack Finds &amp; Picks</t>
        </is>
      </c>
      <c r="B16" s="10" t="inlineStr">
        <is>
          <t>兴趣类</t>
        </is>
      </c>
      <c r="C16" s="10" t="inlineStr">
        <is>
          <t>已搜/有结果</t>
        </is>
      </c>
      <c r="D16" s="10" t="n">
        <v>2</v>
      </c>
      <c r="E16" s="10" t="inlineStr">
        <is>
          <t>未达 3–5 条</t>
        </is>
      </c>
    </row>
    <row r="17">
      <c r="A17" s="10" t="inlineStr">
        <is>
          <t>Outdoor Adventure Club</t>
        </is>
      </c>
      <c r="B17" s="10" t="inlineStr">
        <is>
          <t>兴趣类</t>
        </is>
      </c>
      <c r="C17" s="10" t="inlineStr">
        <is>
          <t>已搜/有结果</t>
        </is>
      </c>
      <c r="D17" s="10" t="n">
        <v>1</v>
      </c>
      <c r="E17" s="10" t="inlineStr">
        <is>
          <t>只有 Kendal Mountain Festival，但分量很重</t>
        </is>
      </c>
    </row>
    <row r="18">
      <c r="A18" s="10" t="inlineStr">
        <is>
          <t>Swim Wave Tribe</t>
        </is>
      </c>
      <c r="B18" s="10" t="inlineStr">
        <is>
          <t>兴趣类</t>
        </is>
      </c>
      <c r="C18" s="10" t="inlineStr">
        <is>
          <t>已搜/有结果</t>
        </is>
      </c>
      <c r="D18" s="10" t="n">
        <v>1</v>
      </c>
      <c r="E18" s="10" t="inlineStr">
        <is>
          <t>11 月是淡季，只找到 Lido Ponty 冷水游泳场</t>
        </is>
      </c>
    </row>
    <row r="19">
      <c r="A19" s="10" t="inlineStr">
        <is>
          <t>Tennis Rally Crew</t>
        </is>
      </c>
      <c r="B19" s="10" t="inlineStr">
        <is>
          <t>兴趣类</t>
        </is>
      </c>
      <c r="C19" s="10" t="inlineStr">
        <is>
          <t>已搜/有结果</t>
        </is>
      </c>
      <c r="D19" s="10" t="n">
        <v>1</v>
      </c>
      <c r="E19" s="10" t="inlineStr">
        <is>
          <t>只有分级比赛，没找到休闲社交局</t>
        </is>
      </c>
    </row>
    <row r="20">
      <c r="A20" s="10" t="inlineStr">
        <is>
          <t>UK Food Lovers</t>
        </is>
      </c>
      <c r="B20" s="10" t="inlineStr">
        <is>
          <t>兴趣类</t>
        </is>
      </c>
      <c r="C20" s="10" t="inlineStr">
        <is>
          <t>已搜/有结果</t>
        </is>
      </c>
      <c r="D20" s="10" t="n">
        <v>2</v>
      </c>
      <c r="E20" s="10" t="inlineStr">
        <is>
          <t>未达 3–5 条</t>
        </is>
      </c>
    </row>
    <row r="21">
      <c r="A21" s="10" t="inlineStr">
        <is>
          <t>Valorant Riot Crew</t>
        </is>
      </c>
      <c r="B21" s="10" t="inlineStr">
        <is>
          <t>兴趣类</t>
        </is>
      </c>
      <c r="C21" s="10" t="inlineStr">
        <is>
          <t>已搜/有结果</t>
        </is>
      </c>
      <c r="D21" s="10" t="n">
        <v>1</v>
      </c>
      <c r="E21" s="10" t="inlineStr">
        <is>
          <t>同 CS2：窗口内只有 EPIC49 决赛日</t>
        </is>
      </c>
    </row>
    <row r="22">
      <c r="A22" s="10" t="inlineStr">
        <is>
          <t>Vintage Vibe Crew</t>
        </is>
      </c>
      <c r="B22" s="10" t="inlineStr">
        <is>
          <t>兴趣类</t>
        </is>
      </c>
      <c r="C22" s="10" t="inlineStr">
        <is>
          <t>已搜/有结果</t>
        </is>
      </c>
      <c r="D22" s="10" t="n">
        <v>1</v>
      </c>
      <c r="E22" s="10" t="inlineStr">
        <is>
          <t>只找到 Frock Me 一场；没找到 11 月的 vintage kilo sale</t>
        </is>
      </c>
    </row>
    <row r="23">
      <c r="A23" s="10" t="inlineStr">
        <is>
          <t>Walking Buddies</t>
        </is>
      </c>
      <c r="B23" s="10" t="inlineStr">
        <is>
          <t>兴趣类</t>
        </is>
      </c>
      <c r="C23" s="10" t="inlineStr">
        <is>
          <t>已搜/无结果</t>
        </is>
      </c>
      <c r="D23" s="10" t="n">
        <v>0</v>
      </c>
      <c r="E23" s="10" t="inlineStr">
        <is>
          <t>Ramblers 冬季徒步节在 12 月下旬到 1 月，不在窗口内；没找到 11 月的公开导览步行</t>
        </is>
      </c>
    </row>
    <row r="24">
      <c r="A24" s="10" t="inlineStr">
        <is>
          <t>UCL Hub</t>
        </is>
      </c>
      <c r="B24" s="10" t="inlineStr">
        <is>
          <t>大学类</t>
        </is>
      </c>
      <c r="C24" s="10" t="inlineStr">
        <is>
          <t>已搜/有结果</t>
        </is>
      </c>
      <c r="D24" s="10" t="n">
        <v>7</v>
      </c>
      <c r="E24" s="10" t="inlineStr"/>
    </row>
    <row r="25">
      <c r="A25" s="10" t="inlineStr">
        <is>
          <t>UCL</t>
        </is>
      </c>
      <c r="B25" s="10" t="inlineStr">
        <is>
          <t>大学类</t>
        </is>
      </c>
      <c r="C25" s="10" t="inlineStr">
        <is>
          <t>已搜/有结果</t>
        </is>
      </c>
      <c r="D25" s="10" t="n">
        <v>7</v>
      </c>
      <c r="E25" s="10" t="inlineStr"/>
    </row>
    <row r="26">
      <c r="A26" s="10" t="inlineStr">
        <is>
          <t>IC Collective</t>
        </is>
      </c>
      <c r="B26" s="10" t="inlineStr">
        <is>
          <t>大学类</t>
        </is>
      </c>
      <c r="C26" s="10" t="inlineStr">
        <is>
          <t>已搜/有结果</t>
        </is>
      </c>
      <c r="D26" s="10" t="n">
        <v>7</v>
      </c>
      <c r="E26" s="10" t="inlineStr"/>
    </row>
    <row r="27">
      <c r="A27" s="10" t="inlineStr">
        <is>
          <t>Royal College of Art</t>
        </is>
      </c>
      <c r="B27" s="10" t="inlineStr">
        <is>
          <t>大学类</t>
        </is>
      </c>
      <c r="C27" s="10" t="inlineStr">
        <is>
          <t>已搜/有结果</t>
        </is>
      </c>
      <c r="D27" s="10" t="n">
        <v>7</v>
      </c>
      <c r="E27" s="10" t="inlineStr"/>
    </row>
    <row r="28">
      <c r="A28" s="10" t="inlineStr">
        <is>
          <t>King's College London</t>
        </is>
      </c>
      <c r="B28" s="10" t="inlineStr">
        <is>
          <t>大学类</t>
        </is>
      </c>
      <c r="C28" s="10" t="inlineStr">
        <is>
          <t>已搜/有结果</t>
        </is>
      </c>
      <c r="D28" s="10" t="n">
        <v>7</v>
      </c>
      <c r="E28" s="10" t="inlineStr"/>
    </row>
    <row r="29">
      <c r="A29" s="10" t="inlineStr">
        <is>
          <t>London School of Economics</t>
        </is>
      </c>
      <c r="B29" s="10" t="inlineStr">
        <is>
          <t>大学类</t>
        </is>
      </c>
      <c r="C29" s="10" t="inlineStr">
        <is>
          <t>已搜/有结果</t>
        </is>
      </c>
      <c r="D29" s="10" t="n">
        <v>7</v>
      </c>
      <c r="E29" s="10" t="inlineStr"/>
    </row>
    <row r="30">
      <c r="A30" s="10" t="inlineStr">
        <is>
          <t>Queen Mary University of London</t>
        </is>
      </c>
      <c r="B30" s="10" t="inlineStr">
        <is>
          <t>大学类</t>
        </is>
      </c>
      <c r="C30" s="10" t="inlineStr">
        <is>
          <t>已搜/有结果</t>
        </is>
      </c>
      <c r="D30" s="10" t="n">
        <v>7</v>
      </c>
      <c r="E30" s="10" t="inlineStr"/>
    </row>
    <row r="31">
      <c r="A31" s="10" t="inlineStr">
        <is>
          <t>St Mary's University, Twickenham</t>
        </is>
      </c>
      <c r="B31" s="10" t="inlineStr">
        <is>
          <t>大学类</t>
        </is>
      </c>
      <c r="C31" s="10" t="inlineStr">
        <is>
          <t>已搜/有结果</t>
        </is>
      </c>
      <c r="D31" s="10" t="n">
        <v>5</v>
      </c>
      <c r="E31" s="10" t="inlineStr"/>
    </row>
    <row r="32">
      <c r="A32" s="10" t="inlineStr">
        <is>
          <t>University of St Andrews</t>
        </is>
      </c>
      <c r="B32" s="10" t="inlineStr">
        <is>
          <t>大学类</t>
        </is>
      </c>
      <c r="C32" s="10" t="inlineStr">
        <is>
          <t>已搜/有结果</t>
        </is>
      </c>
      <c r="D32" s="10" t="n">
        <v>3</v>
      </c>
      <c r="E32" s="10" t="inlineStr"/>
    </row>
    <row r="33">
      <c r="A33" s="10" t="inlineStr">
        <is>
          <t>Glasgow City College</t>
        </is>
      </c>
      <c r="B33" s="10" t="inlineStr">
        <is>
          <t>大学类</t>
        </is>
      </c>
      <c r="C33" s="10" t="inlineStr">
        <is>
          <t>已搜/有结果</t>
        </is>
      </c>
      <c r="D33" s="10" t="n">
        <v>5</v>
      </c>
      <c r="E33" s="10" t="inlineStr"/>
    </row>
    <row r="34">
      <c r="A34" s="10" t="inlineStr">
        <is>
          <t>Glasgow Caledonian University</t>
        </is>
      </c>
      <c r="B34" s="10" t="inlineStr">
        <is>
          <t>大学类</t>
        </is>
      </c>
      <c r="C34" s="10" t="inlineStr">
        <is>
          <t>已搜/有结果</t>
        </is>
      </c>
      <c r="D34" s="10" t="n">
        <v>5</v>
      </c>
      <c r="E34" s="10" t="inlineStr"/>
    </row>
    <row r="35">
      <c r="A35" s="10" t="inlineStr">
        <is>
          <t>University of Strathclyde</t>
        </is>
      </c>
      <c r="B35" s="10" t="inlineStr">
        <is>
          <t>大学类</t>
        </is>
      </c>
      <c r="C35" s="10" t="inlineStr">
        <is>
          <t>已搜/有结果</t>
        </is>
      </c>
      <c r="D35" s="10" t="n">
        <v>5</v>
      </c>
      <c r="E35" s="10" t="inlineStr"/>
    </row>
    <row r="36">
      <c r="A36" s="10" t="inlineStr">
        <is>
          <t>University of West of Scotland</t>
        </is>
      </c>
      <c r="B36" s="10" t="inlineStr">
        <is>
          <t>大学类</t>
        </is>
      </c>
      <c r="C36" s="10" t="inlineStr">
        <is>
          <t>已搜/有结果</t>
        </is>
      </c>
      <c r="D36" s="10" t="n">
        <v>2</v>
      </c>
      <c r="E36" s="10" t="inlineStr">
        <is>
          <t>只搜了 Paisley 和格拉斯哥，Ayr、Lanarkshire、Dumfries 校区没单独搜</t>
        </is>
      </c>
    </row>
    <row r="37">
      <c r="A37" s="10" t="inlineStr">
        <is>
          <t>Heriot-Watt University</t>
        </is>
      </c>
      <c r="B37" s="10" t="inlineStr">
        <is>
          <t>大学类</t>
        </is>
      </c>
      <c r="C37" s="10" t="inlineStr">
        <is>
          <t>已搜/有结果</t>
        </is>
      </c>
      <c r="D37" s="10" t="n">
        <v>2</v>
      </c>
      <c r="E37" s="10" t="inlineStr">
        <is>
          <t>未达 3–5 条</t>
        </is>
      </c>
    </row>
    <row r="38">
      <c r="A38" s="10" t="inlineStr">
        <is>
          <t>University of Edinburgh Freshers 2026</t>
        </is>
      </c>
      <c r="B38" s="10" t="inlineStr">
        <is>
          <t>大学类</t>
        </is>
      </c>
      <c r="C38" s="10" t="inlineStr">
        <is>
          <t>已搜/有结果</t>
        </is>
      </c>
      <c r="D38" s="10" t="n">
        <v>2</v>
      </c>
      <c r="E38" s="10" t="inlineStr">
        <is>
          <t>未达 3–5 条</t>
        </is>
      </c>
    </row>
    <row r="39">
      <c r="A39" s="10" t="inlineStr">
        <is>
          <t>University of Stirling</t>
        </is>
      </c>
      <c r="B39" s="10" t="inlineStr">
        <is>
          <t>大学类</t>
        </is>
      </c>
      <c r="C39" s="10" t="inlineStr">
        <is>
          <t>已搜/有结果</t>
        </is>
      </c>
      <c r="D39" s="10" t="n">
        <v>2</v>
      </c>
      <c r="E39" s="10" t="inlineStr">
        <is>
          <t>未达 3–5 条</t>
        </is>
      </c>
    </row>
    <row r="40">
      <c r="A40" s="10" t="inlineStr">
        <is>
          <t>University of Aberdeen Freshers 2026</t>
        </is>
      </c>
      <c r="B40" s="10" t="inlineStr">
        <is>
          <t>大学类</t>
        </is>
      </c>
      <c r="C40" s="10" t="inlineStr">
        <is>
          <t>已搜/有结果</t>
        </is>
      </c>
      <c r="D40" s="10" t="n">
        <v>2</v>
      </c>
      <c r="E40" s="10" t="inlineStr">
        <is>
          <t>未达 3–5 条</t>
        </is>
      </c>
    </row>
    <row r="41">
      <c r="A41" s="10" t="inlineStr">
        <is>
          <t>BCU Fresher Hub 2026</t>
        </is>
      </c>
      <c r="B41" s="10" t="inlineStr">
        <is>
          <t>大学类</t>
        </is>
      </c>
      <c r="C41" s="10" t="inlineStr">
        <is>
          <t>已搜/有结果</t>
        </is>
      </c>
      <c r="D41" s="10" t="n">
        <v>5</v>
      </c>
      <c r="E41" s="10" t="inlineStr"/>
    </row>
    <row r="42">
      <c r="A42" s="10" t="inlineStr">
        <is>
          <t>Aston Fresher Hub 2026</t>
        </is>
      </c>
      <c r="B42" s="10" t="inlineStr">
        <is>
          <t>大学类</t>
        </is>
      </c>
      <c r="C42" s="10" t="inlineStr">
        <is>
          <t>已搜/有结果</t>
        </is>
      </c>
      <c r="D42" s="10" t="n">
        <v>5</v>
      </c>
      <c r="E42" s="10" t="inlineStr"/>
    </row>
    <row r="43">
      <c r="A43" s="10" t="inlineStr">
        <is>
          <t>SCCB| Birmingham Student Life</t>
        </is>
      </c>
      <c r="B43" s="10" t="inlineStr">
        <is>
          <t>大学类</t>
        </is>
      </c>
      <c r="C43" s="10" t="inlineStr">
        <is>
          <t>已搜/有结果</t>
        </is>
      </c>
      <c r="D43" s="10" t="n">
        <v>5</v>
      </c>
      <c r="E43" s="10" t="inlineStr"/>
    </row>
    <row r="44">
      <c r="A44" s="10" t="inlineStr">
        <is>
          <t>UCB Student Life</t>
        </is>
      </c>
      <c r="B44" s="10" t="inlineStr">
        <is>
          <t>大学类</t>
        </is>
      </c>
      <c r="C44" s="10" t="inlineStr">
        <is>
          <t>已搜/有结果</t>
        </is>
      </c>
      <c r="D44" s="10" t="n">
        <v>5</v>
      </c>
      <c r="E44" s="10" t="inlineStr"/>
    </row>
    <row r="45">
      <c r="A45" s="10" t="inlineStr">
        <is>
          <t>Wolverhampton Freshers Hub 2026</t>
        </is>
      </c>
      <c r="B45" s="10" t="inlineStr">
        <is>
          <t>大学类</t>
        </is>
      </c>
      <c r="C45" s="10" t="inlineStr">
        <is>
          <t>已搜/有结果</t>
        </is>
      </c>
      <c r="D45" s="10" t="n">
        <v>1</v>
      </c>
      <c r="E45" s="10" t="inlineStr">
        <is>
          <t>Wolverhampton 2026 年亮灯日期还没公布</t>
        </is>
      </c>
    </row>
    <row r="46">
      <c r="A46" s="10" t="inlineStr">
        <is>
          <t>Walsall Freshers Hub 2026</t>
        </is>
      </c>
      <c r="B46" s="10" t="inlineStr">
        <is>
          <t>大学类</t>
        </is>
      </c>
      <c r="C46" s="10" t="inlineStr">
        <is>
          <t>已搜/无结果</t>
        </is>
      </c>
      <c r="D46" s="10" t="n">
        <v>0</v>
      </c>
      <c r="E46" s="10" t="inlineStr">
        <is>
          <t>Walsall 本地没找到确认过的 11 月活动；Wolverhampton 亮灯 2026 年日期也还没公布</t>
        </is>
      </c>
    </row>
    <row r="47">
      <c r="A47" s="10" t="inlineStr">
        <is>
          <t>Harper Adams Campus Life</t>
        </is>
      </c>
      <c r="B47" s="10" t="inlineStr">
        <is>
          <t>大学类</t>
        </is>
      </c>
      <c r="C47" s="10" t="inlineStr">
        <is>
          <t>已搜/有结果</t>
        </is>
      </c>
      <c r="D47" s="10" t="n">
        <v>1</v>
      </c>
      <c r="E47" s="10" t="inlineStr">
        <is>
          <t>乡村校区，只有 Weston Park 篝火夜</t>
        </is>
      </c>
    </row>
    <row r="48">
      <c r="A48" s="10" t="inlineStr">
        <is>
          <t>Coventry Fresher Hub 2026</t>
        </is>
      </c>
      <c r="B48" s="10" t="inlineStr">
        <is>
          <t>大学类</t>
        </is>
      </c>
      <c r="C48" s="10" t="inlineStr">
        <is>
          <t>已搜/有结果</t>
        </is>
      </c>
      <c r="D48" s="10" t="n">
        <v>5</v>
      </c>
      <c r="E48" s="10" t="inlineStr">
        <is>
          <t>和 Warwick 合并发布；Coventry 2026 年圣诞市集和摩天轮还没公布（2025 年是 21 Nov 开），学生会活动页没写年份，都没收录</t>
        </is>
      </c>
    </row>
    <row r="49">
      <c r="A49" s="10" t="inlineStr">
        <is>
          <t>Warwick Student Life</t>
        </is>
      </c>
      <c r="B49" s="10" t="inlineStr">
        <is>
          <t>大学类</t>
        </is>
      </c>
      <c r="C49" s="10" t="inlineStr">
        <is>
          <t>已搜/有结果</t>
        </is>
      </c>
      <c r="D49" s="10" t="n">
        <v>5</v>
      </c>
      <c r="E49" s="10" t="inlineStr">
        <is>
          <t>和 Coventry 合并发布；Warwick Arts Centre 的喜剧场就在校园里</t>
        </is>
      </c>
    </row>
    <row r="50">
      <c r="A50" s="10" t="inlineStr">
        <is>
          <t>University of Leicester</t>
        </is>
      </c>
      <c r="B50" s="10" t="inlineStr">
        <is>
          <t>大学类</t>
        </is>
      </c>
      <c r="C50" s="10" t="inlineStr">
        <is>
          <t>已搜/有结果</t>
        </is>
      </c>
      <c r="D50" s="10" t="n">
        <v>2</v>
      </c>
      <c r="E50" s="10" t="inlineStr">
        <is>
          <t>未达 3–5 条</t>
        </is>
      </c>
    </row>
    <row r="51">
      <c r="A51" s="10" t="inlineStr">
        <is>
          <t>De Montfort University</t>
        </is>
      </c>
      <c r="B51" s="10" t="inlineStr">
        <is>
          <t>大学类</t>
        </is>
      </c>
      <c r="C51" s="10" t="inlineStr">
        <is>
          <t>已搜/有结果</t>
        </is>
      </c>
      <c r="D51" s="10" t="n">
        <v>2</v>
      </c>
      <c r="E51" s="10" t="inlineStr">
        <is>
          <t>未达 3–5 条</t>
        </is>
      </c>
    </row>
    <row r="52">
      <c r="A52" s="10" t="inlineStr">
        <is>
          <t>Staffs Student Life | Stoke</t>
        </is>
      </c>
      <c r="B52" s="10" t="inlineStr">
        <is>
          <t>大学类</t>
        </is>
      </c>
      <c r="C52" s="10" t="inlineStr">
        <is>
          <t>已搜/有结果</t>
        </is>
      </c>
      <c r="D52" s="10" t="n">
        <v>2</v>
      </c>
      <c r="E52" s="10" t="inlineStr">
        <is>
          <t>未达 3–5 条</t>
        </is>
      </c>
    </row>
    <row r="53">
      <c r="A53" s="10" t="inlineStr">
        <is>
          <t>Keele Campus Life</t>
        </is>
      </c>
      <c r="B53" s="10" t="inlineStr">
        <is>
          <t>大学类</t>
        </is>
      </c>
      <c r="C53" s="10" t="inlineStr">
        <is>
          <t>已搜/有结果</t>
        </is>
      </c>
      <c r="D53" s="10" t="n">
        <v>2</v>
      </c>
      <c r="E53" s="10" t="inlineStr">
        <is>
          <t>未达 3–5 条</t>
        </is>
      </c>
    </row>
    <row r="54">
      <c r="A54" s="10" t="inlineStr">
        <is>
          <t>The University of Manchester</t>
        </is>
      </c>
      <c r="B54" s="10" t="inlineStr">
        <is>
          <t>大学类</t>
        </is>
      </c>
      <c r="C54" s="10" t="inlineStr">
        <is>
          <t>已搜/有结果</t>
        </is>
      </c>
      <c r="D54" s="10" t="n">
        <v>5</v>
      </c>
      <c r="E54" s="10" t="inlineStr"/>
    </row>
    <row r="55">
      <c r="A55" s="10" t="inlineStr">
        <is>
          <t>Manchester Metropolitan University</t>
        </is>
      </c>
      <c r="B55" s="10" t="inlineStr">
        <is>
          <t>大学类</t>
        </is>
      </c>
      <c r="C55" s="10" t="inlineStr">
        <is>
          <t>已搜/有结果</t>
        </is>
      </c>
      <c r="D55" s="10" t="n">
        <v>5</v>
      </c>
      <c r="E55" s="10" t="inlineStr"/>
    </row>
    <row r="56">
      <c r="A56" s="10" t="inlineStr">
        <is>
          <t>University of Lancaster</t>
        </is>
      </c>
      <c r="B56" s="10" t="inlineStr">
        <is>
          <t>大学类</t>
        </is>
      </c>
      <c r="C56" s="10" t="inlineStr">
        <is>
          <t>已搜/有结果</t>
        </is>
      </c>
      <c r="D56" s="10" t="n">
        <v>2</v>
      </c>
      <c r="E56" s="10" t="inlineStr">
        <is>
          <t>未达 3–5 条</t>
        </is>
      </c>
    </row>
    <row r="57">
      <c r="A57" s="10" t="inlineStr">
        <is>
          <t>University of Lancashire</t>
        </is>
      </c>
      <c r="B57" s="10" t="inlineStr">
        <is>
          <t>大学类</t>
        </is>
      </c>
      <c r="C57" s="10" t="inlineStr">
        <is>
          <t>已搜/有结果</t>
        </is>
      </c>
      <c r="D57" s="10" t="n">
        <v>2</v>
      </c>
      <c r="E57" s="10" t="inlineStr">
        <is>
          <t>未达 3–5 条</t>
        </is>
      </c>
    </row>
    <row r="58">
      <c r="A58" s="10" t="inlineStr">
        <is>
          <t>University of Chester</t>
        </is>
      </c>
      <c r="B58" s="10" t="inlineStr">
        <is>
          <t>大学类</t>
        </is>
      </c>
      <c r="C58" s="10" t="inlineStr">
        <is>
          <t>已搜/有结果</t>
        </is>
      </c>
      <c r="D58" s="10" t="n">
        <v>1</v>
      </c>
      <c r="E58" s="10" t="inlineStr">
        <is>
          <t>只有圣诞市集一条</t>
        </is>
      </c>
    </row>
    <row r="59">
      <c r="A59" s="10" t="inlineStr">
        <is>
          <t>Leeds Uni Student Hub</t>
        </is>
      </c>
      <c r="B59" s="10" t="inlineStr">
        <is>
          <t>大学类</t>
        </is>
      </c>
      <c r="C59" s="10" t="inlineStr">
        <is>
          <t>已搜/有结果</t>
        </is>
      </c>
      <c r="D59" s="10" t="n">
        <v>6</v>
      </c>
      <c r="E59" s="10" t="inlineStr"/>
    </row>
    <row r="60">
      <c r="A60" s="10" t="inlineStr">
        <is>
          <t>Leeds University group 2</t>
        </is>
      </c>
      <c r="B60" s="10" t="inlineStr">
        <is>
          <t>大学类</t>
        </is>
      </c>
      <c r="C60" s="10" t="inlineStr">
        <is>
          <t>已搜/有结果</t>
        </is>
      </c>
      <c r="D60" s="10" t="n">
        <v>6</v>
      </c>
      <c r="E60" s="10" t="inlineStr"/>
    </row>
    <row r="61">
      <c r="A61" s="10" t="inlineStr">
        <is>
          <t>Leeds University group 3</t>
        </is>
      </c>
      <c r="B61" s="10" t="inlineStr">
        <is>
          <t>大学类</t>
        </is>
      </c>
      <c r="C61" s="10" t="inlineStr">
        <is>
          <t>已搜/有结果</t>
        </is>
      </c>
      <c r="D61" s="10" t="n">
        <v>6</v>
      </c>
      <c r="E61" s="10" t="inlineStr"/>
    </row>
    <row r="62">
      <c r="A62" s="10" t="inlineStr">
        <is>
          <t>Leeds University group 4</t>
        </is>
      </c>
      <c r="B62" s="10" t="inlineStr">
        <is>
          <t>大学类</t>
        </is>
      </c>
      <c r="C62" s="10" t="inlineStr">
        <is>
          <t>已搜/有结果</t>
        </is>
      </c>
      <c r="D62" s="10" t="n">
        <v>6</v>
      </c>
      <c r="E62" s="10" t="inlineStr"/>
    </row>
    <row r="63">
      <c r="A63" s="10" t="inlineStr">
        <is>
          <t>Leeds University group 5</t>
        </is>
      </c>
      <c r="B63" s="10" t="inlineStr">
        <is>
          <t>大学类</t>
        </is>
      </c>
      <c r="C63" s="10" t="inlineStr">
        <is>
          <t>已搜/有结果</t>
        </is>
      </c>
      <c r="D63" s="10" t="n">
        <v>6</v>
      </c>
      <c r="E63" s="10" t="inlineStr"/>
    </row>
    <row r="64">
      <c r="A64" s="10" t="inlineStr">
        <is>
          <t>Leeds University group 6</t>
        </is>
      </c>
      <c r="B64" s="10" t="inlineStr">
        <is>
          <t>大学类</t>
        </is>
      </c>
      <c r="C64" s="10" t="inlineStr">
        <is>
          <t>已搜/有结果</t>
        </is>
      </c>
      <c r="D64" s="10" t="n">
        <v>6</v>
      </c>
      <c r="E64" s="10" t="inlineStr"/>
    </row>
    <row r="65">
      <c r="A65" s="10" t="inlineStr">
        <is>
          <t>Leeds University group 7</t>
        </is>
      </c>
      <c r="B65" s="10" t="inlineStr">
        <is>
          <t>大学类</t>
        </is>
      </c>
      <c r="C65" s="10" t="inlineStr">
        <is>
          <t>已搜/有结果</t>
        </is>
      </c>
      <c r="D65" s="10" t="n">
        <v>6</v>
      </c>
      <c r="E65" s="10" t="inlineStr"/>
    </row>
    <row r="66">
      <c r="A66" s="10" t="inlineStr">
        <is>
          <t>Sheffield Hallam University</t>
        </is>
      </c>
      <c r="B66" s="10" t="inlineStr">
        <is>
          <t>大学类</t>
        </is>
      </c>
      <c r="C66" s="10" t="inlineStr">
        <is>
          <t>已搜/有结果</t>
        </is>
      </c>
      <c r="D66" s="10" t="n">
        <v>2</v>
      </c>
      <c r="E66" s="10" t="inlineStr">
        <is>
          <t>未达 3–5 条</t>
        </is>
      </c>
    </row>
    <row r="67">
      <c r="A67" s="10" t="inlineStr">
        <is>
          <t>University of Sheffield</t>
        </is>
      </c>
      <c r="B67" s="10" t="inlineStr">
        <is>
          <t>大学类</t>
        </is>
      </c>
      <c r="C67" s="10" t="inlineStr">
        <is>
          <t>已搜/有结果</t>
        </is>
      </c>
      <c r="D67" s="10" t="n">
        <v>2</v>
      </c>
      <c r="E67" s="10" t="inlineStr">
        <is>
          <t>未达 3–5 条</t>
        </is>
      </c>
    </row>
    <row r="68">
      <c r="A68" s="10" t="inlineStr">
        <is>
          <t>Huddersfield Uni Student Hub</t>
        </is>
      </c>
      <c r="B68" s="10" t="inlineStr">
        <is>
          <t>大学类</t>
        </is>
      </c>
      <c r="C68" s="10" t="inlineStr">
        <is>
          <t>已搜/有结果</t>
        </is>
      </c>
      <c r="D68" s="10" t="n">
        <v>3</v>
      </c>
      <c r="E68" s="10" t="inlineStr"/>
    </row>
    <row r="69">
      <c r="A69" s="10" t="inlineStr">
        <is>
          <t>university of york student hub</t>
        </is>
      </c>
      <c r="B69" s="10" t="inlineStr">
        <is>
          <t>大学类</t>
        </is>
      </c>
      <c r="C69" s="10" t="inlineStr">
        <is>
          <t>已搜/有结果</t>
        </is>
      </c>
      <c r="D69" s="10" t="n">
        <v>2</v>
      </c>
      <c r="E69" s="10" t="inlineStr">
        <is>
          <t>未达 3–5 条</t>
        </is>
      </c>
    </row>
    <row r="70">
      <c r="A70" s="10" t="inlineStr">
        <is>
          <t>Hull Uni Student Hub</t>
        </is>
      </c>
      <c r="B70" s="10" t="inlineStr">
        <is>
          <t>大学类</t>
        </is>
      </c>
      <c r="C70" s="10" t="inlineStr">
        <is>
          <t>已搜/有结果</t>
        </is>
      </c>
      <c r="D70" s="10" t="n">
        <v>1</v>
      </c>
      <c r="E70" s="10" t="inlineStr">
        <is>
          <t>Hull 2026 年圣诞亮灯还没公布；只收了 1 场演出</t>
        </is>
      </c>
    </row>
    <row r="71">
      <c r="A71" s="10" t="inlineStr">
        <is>
          <t>Newcastle university</t>
        </is>
      </c>
      <c r="B71" s="10" t="inlineStr">
        <is>
          <t>大学类</t>
        </is>
      </c>
      <c r="C71" s="10" t="inlineStr">
        <is>
          <t>已搜/有结果</t>
        </is>
      </c>
      <c r="D71" s="10" t="n">
        <v>5</v>
      </c>
      <c r="E71" s="10" t="inlineStr"/>
    </row>
    <row r="72">
      <c r="A72" s="10" t="inlineStr">
        <is>
          <t>Newcastle university 2</t>
        </is>
      </c>
      <c r="B72" s="10" t="inlineStr">
        <is>
          <t>大学类</t>
        </is>
      </c>
      <c r="C72" s="10" t="inlineStr">
        <is>
          <t>已搜/有结果</t>
        </is>
      </c>
      <c r="D72" s="10" t="n">
        <v>5</v>
      </c>
      <c r="E72" s="10" t="inlineStr"/>
    </row>
    <row r="73">
      <c r="A73" s="10" t="inlineStr">
        <is>
          <t>Northumbria university</t>
        </is>
      </c>
      <c r="B73" s="10" t="inlineStr">
        <is>
          <t>大学类</t>
        </is>
      </c>
      <c r="C73" s="10" t="inlineStr">
        <is>
          <t>已搜/有结果</t>
        </is>
      </c>
      <c r="D73" s="10" t="n">
        <v>5</v>
      </c>
      <c r="E73" s="10" t="inlineStr"/>
    </row>
    <row r="74">
      <c r="A74" s="10" t="inlineStr">
        <is>
          <t>Durham university</t>
        </is>
      </c>
      <c r="B74" s="10" t="inlineStr">
        <is>
          <t>大学类</t>
        </is>
      </c>
      <c r="C74" s="10" t="inlineStr">
        <is>
          <t>已搜/有结果</t>
        </is>
      </c>
      <c r="D74" s="10" t="n">
        <v>1</v>
      </c>
      <c r="E74" s="10" t="inlineStr">
        <is>
          <t>杜伦本地只找到 Gala 剧院圣诞剧（第三方来源）；圣诞节在 12 月 4–6 日，不在窗口内；改推火车 15 分钟可达的纽卡斯尔圣诞市集</t>
        </is>
      </c>
    </row>
    <row r="75">
      <c r="A75" s="10" t="inlineStr">
        <is>
          <t>University of Cardiff</t>
        </is>
      </c>
      <c r="B75" s="10" t="inlineStr">
        <is>
          <t>大学类</t>
        </is>
      </c>
      <c r="C75" s="10" t="inlineStr">
        <is>
          <t>已搜/有结果</t>
        </is>
      </c>
      <c r="D75" s="10" t="n">
        <v>6</v>
      </c>
      <c r="E75" s="10" t="inlineStr"/>
    </row>
    <row r="76">
      <c r="A76" s="10" t="inlineStr">
        <is>
          <t>Cardiff Metropolitan University</t>
        </is>
      </c>
      <c r="B76" s="10" t="inlineStr">
        <is>
          <t>大学类</t>
        </is>
      </c>
      <c r="C76" s="10" t="inlineStr">
        <is>
          <t>已搜/有结果</t>
        </is>
      </c>
      <c r="D76" s="10" t="n">
        <v>6</v>
      </c>
      <c r="E76" s="10" t="inlineStr"/>
    </row>
  </sheetData>
  <autoFilter ref="A1:E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9" t="inlineStr">
        <is>
          <t>类型</t>
        </is>
      </c>
      <c r="B1" s="9" t="inlineStr">
        <is>
          <t>内容</t>
        </is>
      </c>
    </row>
    <row r="2">
      <c r="A2" s="10" t="inlineStr">
        <is>
          <t>图片</t>
        </is>
      </c>
      <c r="B2" s="10" t="inlineStr">
        <is>
          <t>所有行都没配图：云端环境只有 WebSearch 能用，拿不到图片直链，要到本地 Claude Code 补</t>
        </is>
      </c>
    </row>
    <row r="3">
      <c r="A3" s="10" t="inlineStr">
        <is>
          <t>日期不确定→没收录</t>
        </is>
      </c>
      <c r="B3" s="10" t="inlineStr">
        <is>
          <t>Richmond Family Fireworks：一个来源写 1 Nov，另一个写 5–7 Nov，一直没核实清楚</t>
        </is>
      </c>
    </row>
    <row r="4">
      <c r="A4" s="10" t="inlineStr">
        <is>
          <t>日期待核实</t>
        </is>
      </c>
      <c r="B4" s="10" t="inlineStr">
        <is>
          <t>Aberdeen 烟花（2026 年燃放安排没公布）；Leicester 圣诞市集（官网还留着 2024 年文字）；Martin Mere 天鹅喂食时间（只有往年的）；Leeds Ice Cube 开始日期（19 或 22 Nov）；St Andrews Big Hoolie 具体时间</t>
        </is>
      </c>
    </row>
    <row r="5">
      <c r="A5" s="10" t="inlineStr">
        <is>
          <t>未开票</t>
        </is>
      </c>
      <c r="B5" s="10" t="inlineStr">
        <is>
          <t>Lonely Girls Club 6 Nov Friday Girls Night：官网写"coming soon"</t>
        </is>
      </c>
    </row>
    <row r="6">
      <c r="A6" s="10" t="inlineStr">
        <is>
          <t>来源偏弱</t>
        </is>
      </c>
      <c r="B6" s="10" t="inlineStr">
        <is>
          <t>RetroCon UK（只有活动汇总页）；Squeeze 赫尔站（场馆页面可能没及时更新）；Phoebe Bridgers / Blossoms（只看到场馆日程表）；Cambridge Literary Festival 冬季场（VisitBritain 汇总）</t>
        </is>
      </c>
    </row>
    <row r="7">
      <c r="A7" s="10" t="inlineStr">
        <is>
          <t>日期对不上→没收录</t>
        </is>
      </c>
      <c r="B7" s="10" t="inlineStr">
        <is>
          <t>MMU 学生会的"Big Union Social"等活动页：写的"Tuesday 12 November"对应 2024 年，不是 2026 年</t>
        </is>
      </c>
    </row>
    <row r="8">
      <c r="A8" s="10" t="inlineStr">
        <is>
          <t>窗口外</t>
        </is>
      </c>
      <c r="B8" s="10" t="inlineStr">
        <is>
          <t>Durham Christmas Festival（4–6 Dec）；Ramblers 冬季徒步节（12 月下旬起）；Tottenham v Arsenal（5 Dec）；London Olympia 的 Bloc Party &amp; Interpol（4–5 Dec）</t>
        </is>
      </c>
    </row>
    <row r="9">
      <c r="A9" s="10" t="inlineStr">
        <is>
          <t>未公布</t>
        </is>
      </c>
      <c r="B9" s="10" t="inlineStr">
        <is>
          <t>Hull、Wolverhampton、Stirling 的 2026 年亮灯日期；Coventry 2024 年起取消亮灯仪式，2026 年圣诞市集日期也没公布；Sheffield 市政亮灯 2023 年起停办</t>
        </is>
      </c>
    </row>
    <row r="10">
      <c r="A10" s="10" t="inlineStr">
        <is>
          <t>票价/门票</t>
        </is>
      </c>
      <c r="B10" s="10" t="inlineStr">
        <is>
          <t>英超三场比赛门票基本只卖给会员，建议组织观赛而不是买票；England v NZ、Christmas at Kew 票价偏高；Jungle 二手票溢价很高，只买官方票</t>
        </is>
      </c>
    </row>
    <row r="11">
      <c r="A11" s="10" t="inlineStr">
        <is>
          <t>社群无结果</t>
        </is>
      </c>
      <c r="B11" s="10" t="inlineStr">
        <is>
          <t>Coffee Shop Hopping、Study Break Crew、Paws UK、Walking Buddies、Walsall Freshers Hub 2026：原因见社群覆盖清单</t>
        </is>
      </c>
    </row>
    <row r="12">
      <c r="A12" s="10" t="inlineStr">
        <is>
          <t>已更正（地址核查）</t>
        </is>
      </c>
      <c r="B12" s="10" t="inlineStr">
        <is>
          <t>hmv Empire 之前写成 Hales Street CV1 1JD（凭印象写的，错了），正确是 22 Hertford Street, CV1 1LF；Slimbridge 之前写 Bridge Road（错），正确是 Bowditch, GL2 7BT；Summerhall 的邮编没核实到，已删掉。另外逐个核对了其余 30 多个场馆的邮编，都和官方或多个来源一致</t>
        </is>
      </c>
    </row>
    <row r="13">
      <c r="A13" s="10" t="inlineStr">
        <is>
          <t>新增社群</t>
        </is>
      </c>
      <c r="B13" s="10" t="inlineStr">
        <is>
          <t>本轮新加入的 10 个大学群都已覆盖：UCL（和 UCL Hub 一起推伦敦块）、Manchester Met（和 UoM 合并）、UCB（伯明翰块）、Warwick（和 Coventry 合并）、De Montfort（和 Leicester 合并）、Leeds 3–7 群（和 Leeds 1、2 群合并）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2026-10-12T07:18:06Z</dcterms:created>
  <dcterms:modified xsi:type="dcterms:W3CDTF">2026-10-12T07:18:07Z</dcterms:modified>
</cp:coreProperties>
</file>